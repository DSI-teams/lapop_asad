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417"/>
  <workbookPr/>
  <mc:AlternateContent xmlns:mc="http://schemas.openxmlformats.org/markup-compatibility/2006">
    <mc:Choice Requires="x15">
      <x15ac:absPath xmlns:x15ac="http://schemas.microsoft.com/office/spreadsheetml/2010/11/ac" url="/Users/asadm2/Documents/Grad_School/Spring_2020/lapop_asad/Dashboard/"/>
    </mc:Choice>
  </mc:AlternateContent>
  <bookViews>
    <workbookView xWindow="0" yWindow="0" windowWidth="25600" windowHeight="16000" tabRatio="500"/>
  </bookViews>
  <sheets>
    <sheet name="Sheet1" sheetId="1" r:id="rId1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1" l="1"/>
  <c r="N3" i="1"/>
  <c r="N4" i="1"/>
  <c r="N5" i="1"/>
  <c r="N7" i="1"/>
  <c r="N13" i="1"/>
  <c r="N20" i="1"/>
  <c r="N28" i="1"/>
  <c r="N29" i="1"/>
  <c r="N30" i="1"/>
  <c r="N31" i="1"/>
  <c r="N32" i="1"/>
  <c r="N33" i="1"/>
  <c r="N37" i="1"/>
  <c r="O37" i="1"/>
  <c r="Q37" i="1"/>
  <c r="W37" i="1"/>
  <c r="O39" i="1"/>
  <c r="F31" i="1"/>
  <c r="F32" i="1"/>
  <c r="F33" i="1"/>
  <c r="F34" i="1"/>
  <c r="F35" i="1"/>
  <c r="F30" i="1"/>
  <c r="F29" i="1"/>
  <c r="F28" i="1"/>
  <c r="F17" i="1"/>
  <c r="F27" i="1"/>
  <c r="F26" i="1"/>
  <c r="F25" i="1"/>
  <c r="F24" i="1"/>
  <c r="F23" i="1"/>
  <c r="F22" i="1"/>
  <c r="F21" i="1"/>
  <c r="F20" i="1"/>
  <c r="F19" i="1"/>
  <c r="F18" i="1"/>
  <c r="F16" i="1"/>
  <c r="F15" i="1"/>
  <c r="F10" i="1"/>
  <c r="F11" i="1"/>
  <c r="F12" i="1"/>
  <c r="F13" i="1"/>
  <c r="F14" i="1"/>
  <c r="F9" i="1"/>
  <c r="F8" i="1"/>
  <c r="F7" i="1"/>
</calcChain>
</file>

<file path=xl/sharedStrings.xml><?xml version="1.0" encoding="utf-8"?>
<sst xmlns="http://schemas.openxmlformats.org/spreadsheetml/2006/main" count="325" uniqueCount="293">
  <si>
    <t>Country</t>
  </si>
  <si>
    <t>Argentina</t>
  </si>
  <si>
    <t>Antigua and Barbuda</t>
  </si>
  <si>
    <t>Bahamas</t>
  </si>
  <si>
    <t>Barbados</t>
  </si>
  <si>
    <t>Belize</t>
  </si>
  <si>
    <t>Bolivia</t>
  </si>
  <si>
    <t>Brazil</t>
  </si>
  <si>
    <t>Canada</t>
  </si>
  <si>
    <t xml:space="preserve">Chile </t>
  </si>
  <si>
    <t>Colombia</t>
  </si>
  <si>
    <t>Costa Rica</t>
  </si>
  <si>
    <t>Dominica</t>
  </si>
  <si>
    <t>Dominican Republic</t>
  </si>
  <si>
    <t>Ecuador</t>
  </si>
  <si>
    <t>El Salvador</t>
  </si>
  <si>
    <t>Grenada</t>
  </si>
  <si>
    <t>Guatemala</t>
  </si>
  <si>
    <t>Guyana</t>
  </si>
  <si>
    <t>Haiti</t>
  </si>
  <si>
    <t>Honduras</t>
  </si>
  <si>
    <t>Jamaica</t>
  </si>
  <si>
    <t>Mexico</t>
  </si>
  <si>
    <t>Nicaragua</t>
  </si>
  <si>
    <t>Panama</t>
  </si>
  <si>
    <t>Paraguay</t>
  </si>
  <si>
    <t>Peru</t>
  </si>
  <si>
    <t>Saint Kitts and Nevis</t>
  </si>
  <si>
    <t>Saint Lucia</t>
  </si>
  <si>
    <t>Saint Vincent and the Grenadines</t>
  </si>
  <si>
    <t>Suriname</t>
  </si>
  <si>
    <t>Trinidad and Tobago</t>
  </si>
  <si>
    <t>Uruguay</t>
  </si>
  <si>
    <t>Venezuela</t>
  </si>
  <si>
    <t>Comments</t>
  </si>
  <si>
    <t>* 2003 special datasets online not included in count</t>
  </si>
  <si>
    <t>Years on box (y/n)</t>
  </si>
  <si>
    <t>Years (20xx)</t>
  </si>
  <si>
    <t>08 10 12 14 16</t>
  </si>
  <si>
    <t>08 10 12 14</t>
  </si>
  <si>
    <t>00 02 04 06 08 10 12 14 16</t>
  </si>
  <si>
    <t>06 08 10 12 14 16</t>
  </si>
  <si>
    <t xml:space="preserve">01 04 05 06 07 08 09 10 12 13 14 16 </t>
  </si>
  <si>
    <t>1976  1978 1980 1983 1985 1987 1990 1995 1999 02 04 06 08 10 12 14 16</t>
  </si>
  <si>
    <t>04 06 08 10 12 14 16</t>
  </si>
  <si>
    <t>1986 01 02 04 06 08 10 12 14 16</t>
  </si>
  <si>
    <t xml:space="preserve">* Additional 2004 special </t>
  </si>
  <si>
    <t>* 2 Additional 1991, 1993, additional 1999</t>
  </si>
  <si>
    <t xml:space="preserve">1992 1993 1995 1997 1999 01 04 06 08 10 12 14 16 </t>
  </si>
  <si>
    <t xml:space="preserve">* 2 1998 and 1 additional 2006 special </t>
  </si>
  <si>
    <t>Number of datasets online</t>
  </si>
  <si>
    <t>01 04 06 08 10 12 14 16</t>
  </si>
  <si>
    <t>1978 04 06 08 10 12 14 16</t>
  </si>
  <si>
    <t>* 1979 special</t>
  </si>
  <si>
    <t xml:space="preserve">* 1983, 1985 and 2 1991 special </t>
  </si>
  <si>
    <t xml:space="preserve">* 1973, additional 1976, additional 1987 special </t>
  </si>
  <si>
    <t>1989 1991 1995 1996 1997 1998 1999 04 06 08 10 12 14 16</t>
  </si>
  <si>
    <t>1991 04 06 08 10 12 14 16</t>
  </si>
  <si>
    <t xml:space="preserve">* 1991 additional </t>
  </si>
  <si>
    <t>1996 1998 06 08 10 12 14 16</t>
  </si>
  <si>
    <t>10 12 14</t>
  </si>
  <si>
    <t>06 07 08 10 12 14 16</t>
  </si>
  <si>
    <t>1995 06 08 10 12 14 16</t>
  </si>
  <si>
    <t>Merged time-frame on box</t>
  </si>
  <si>
    <t>y</t>
  </si>
  <si>
    <t>.DTA</t>
  </si>
  <si>
    <t>.SAV</t>
  </si>
  <si>
    <t xml:space="preserve"> 2 - different weighting</t>
  </si>
  <si>
    <t>2008-2014</t>
  </si>
  <si>
    <t>y (16 as 17?)</t>
  </si>
  <si>
    <t>n</t>
  </si>
  <si>
    <t>Change logs</t>
  </si>
  <si>
    <t>Files on box: TECH INFO</t>
  </si>
  <si>
    <t>2004-2014</t>
  </si>
  <si>
    <t>"final campo_V2.pdf"</t>
  </si>
  <si>
    <t>2007-2014</t>
  </si>
  <si>
    <t>"…Portuguese…pdf"</t>
  </si>
  <si>
    <t>2006-2014</t>
  </si>
  <si>
    <t>3 PDFs of questions</t>
  </si>
  <si>
    <t>2 PDFs</t>
  </si>
  <si>
    <t>1 PDF (Espanol version)</t>
  </si>
  <si>
    <t>2 + 2 "…Rev1-w.zip"</t>
  </si>
  <si>
    <t>1PDF "2006_v23ER.pdf"</t>
  </si>
  <si>
    <t>1 PDF (2006_v23)</t>
  </si>
  <si>
    <t>2 PDFs (2008 18Q_jan2308_V2 revised.pdf &amp; 2006_v23CR.pdf)</t>
  </si>
  <si>
    <t>2 PDFs (2006_v23iR.pdf &amp; Spanish V18Q_V2 revised.pdf)</t>
  </si>
  <si>
    <t>2 PDFs (Spanish v18Q_V2 revised.pdf &amp; 2006_v23b.pdf)</t>
  </si>
  <si>
    <t>2 PDFs (2006_v23_BR.pdf &amp; Spanish V18Qr_V2 revised.pdf)</t>
  </si>
  <si>
    <t>2 PDFs (2006_v23bR1.pdf &amp; Spanish v18Q_V2 revised.pdf)</t>
  </si>
  <si>
    <t>2 PDFs (Spanish V18Q_V2 revised.pdf &amp; 2006_v23bR1.pdf)</t>
  </si>
  <si>
    <t>1 PDF (Spanish V18Q_V2 revised.pdf)</t>
  </si>
  <si>
    <t>2 PDFs (Spanish v18p_V2 revised.pdf &amp; 2006_v23G-1R.pdf)</t>
  </si>
  <si>
    <t>2010-2014</t>
  </si>
  <si>
    <t>2 PDFs (Spanish_v18Q9_V2 revised.pdf &amp; Uruguay2007_v9 _3_.pdf)</t>
  </si>
  <si>
    <t>2 PDFs (Spanish_V15R_V2 revised.pdf &amp; Venezuela_v12.pdf)</t>
  </si>
  <si>
    <t>1 PDF (Spanish_v18Q_V2 revised.pdf)</t>
  </si>
  <si>
    <t>1 (.sav)</t>
  </si>
  <si>
    <t>Total</t>
  </si>
  <si>
    <t>55186908VAND0002_CODEBOOK.pdf</t>
  </si>
  <si>
    <t>2128470678US CODEBOOK.pdf</t>
  </si>
  <si>
    <t>various w.zip folders</t>
  </si>
  <si>
    <t xml:space="preserve"> AB Tech Info</t>
  </si>
  <si>
    <t>"Brasil" tech info</t>
  </si>
  <si>
    <t>"Dom Rep" tech info</t>
  </si>
  <si>
    <t>11842458662004_Core_Questionnaire_English.pdf</t>
  </si>
  <si>
    <t>590988561ABUS12-v10.0.1.2-Eng-Online Survey-120409_W.pdf</t>
  </si>
  <si>
    <t>498336009US_LAPOP_AmericasBarometer 2010 data set original V1.sav</t>
  </si>
  <si>
    <t>4052167482006_Core_Questionnaire_English.pdf</t>
  </si>
  <si>
    <t>1332767016Belice_LAPOP_AmericasBarometer 2010 data set approved v3.dta</t>
  </si>
  <si>
    <t>20574795612004_Core_Questionnaire_Spanish.pdf</t>
  </si>
  <si>
    <t>11894059352008_Core_Questionnaire_English.pdf</t>
  </si>
  <si>
    <t>106588472008_Core_Questionnaire_Spanish.pdf</t>
  </si>
  <si>
    <t>726824552010_Core_Questionnaire_English.pdf</t>
  </si>
  <si>
    <t>982888672Belice_LAPOP_AmericasBarometer 2010 data set approved v3.sav</t>
  </si>
  <si>
    <t>496679067TrinandTob LAPOP AmericasBarometer 2012 Rev1_W.dta</t>
  </si>
  <si>
    <t>14423965852006_Core_Questionnaire_Spanish.pdf</t>
  </si>
  <si>
    <t>1369231269ABCan17-v18.0.6.1-Fre-Online-Survey-170323_W.pdf</t>
  </si>
  <si>
    <t>1788592306ABCan17-v18.0.6.1-Eng-Online-Survey-170323_W.pdf</t>
  </si>
  <si>
    <t>1076064826DomRep LAPOP AmericasBarometer 2012 Rev1_W.dta</t>
  </si>
  <si>
    <t>1055323533USA LAPOP 2008 FINAL DATASET_v10.sav</t>
  </si>
  <si>
    <t>1274325220ABCan12-V10.0.4.0-Eng-Online Survey-120713_W.pdf</t>
  </si>
  <si>
    <t>1564237303dr_lapop_final 2006 data set v2.dta</t>
  </si>
  <si>
    <t>356764203ABSur12-v10.0.2.2-Sra-120427_W.pdf</t>
  </si>
  <si>
    <t>872527770ABUS17-v18.0.3.1-Spa-Online Survey-170515_W.pdf</t>
  </si>
  <si>
    <t>1873964806ABCan12-V10.0.4.0-FRE-Online Survey-120716_W.pdf</t>
  </si>
  <si>
    <t>861125112DR_LAPOP_Final 2006 data set V2.sav</t>
  </si>
  <si>
    <t>400811956LAPOPUS14-V15.2.5.2-Eng-Online_Survey-140604_W.pdf</t>
  </si>
  <si>
    <t>1932825432LAPOPUS14-V15.2.5.2-Spa-Online_Survey-140612_W.pdf</t>
  </si>
  <si>
    <t>1929200576LAPOPArg14-V15.2.3.0-Spa-140218_W.pdf</t>
  </si>
  <si>
    <t>302018996ABBol17-v18.0.4.1-Spa-170601_W.pdf</t>
  </si>
  <si>
    <t>2055947480Ayiti_LAPOP_DIMS_2008_v18Qi_V2_revised.pdf</t>
  </si>
  <si>
    <t>1687107686Ayiti_LAPOP_DIMS_2008_v18Qi_V2 revised.pdf</t>
  </si>
  <si>
    <t>1998926922LAPOP DIMS 2008 core English USA v10_V2 revised.pdf</t>
  </si>
  <si>
    <t>265338482LAPOPBra14-v15.2.5.1-Por-140316_W.pdf</t>
  </si>
  <si>
    <t>1988909161LAPOPHai14-V15.2.3.1-Creole-140214_W.pdf</t>
  </si>
  <si>
    <t>293937906ABHai17-v18.0.5.0-Creole-170406_W.pdf</t>
  </si>
  <si>
    <t>1602603624ABHai17-v18.0.4.0-Eng-170406_W.pdf</t>
  </si>
  <si>
    <t>15468202082004-2014 Grand Merge Codebook_V3.0_Free_W.pdf</t>
  </si>
  <si>
    <t>16345650682004 - 2014 Grand Merge Codebook_V3.0_W.pdf</t>
  </si>
  <si>
    <t>1126299224LAPOPGuy14-v15.2.3.1-Eng-140530_W.pdf</t>
  </si>
  <si>
    <t>1738442662LAPOPBel14-V15.2.2.2-Eng-140501_W.pdf</t>
  </si>
  <si>
    <t>1758247732LAPOPNic14-v15.2.7.0-Spa-140212_W.pdf</t>
  </si>
  <si>
    <t>523612957LAPOPRep14-v15.2.2.0-Spa-140201_W.pd</t>
  </si>
  <si>
    <t>848604546LAPOPBol14-v15.2.3.2-Spa-140323_W.pdf</t>
  </si>
  <si>
    <t>1962881277LAPOPVen14-v15.2.3.2-Spa-140221_W.pdf</t>
  </si>
  <si>
    <t>269582202TrinandTob LAPOP AmericasBarometer 2012 Rev1_W.sav</t>
  </si>
  <si>
    <t>1266704853LAPOPBel14-v15.2.2.0-Spa-140428_W.pdf</t>
  </si>
  <si>
    <t>1760030174LAPOPPar14-V15.2.4.3-Spa-Gua-140116_W.pdf</t>
  </si>
  <si>
    <t>833646236LAPOPEcu14-15.2.5.1-Spa-140117_W.pdf</t>
  </si>
  <si>
    <t>746535198LAPOPPan14-v15.2.3.0-Spa-131218_W.pdf</t>
  </si>
  <si>
    <t>584811784LAPOPChi14-v15.2.3.2-Spa-140329_W.pdf</t>
  </si>
  <si>
    <t>1117676277LAPOPBar14-V15.2.6.2-Eng-150219_W.pdf</t>
  </si>
  <si>
    <t>587141161LAPOPPer14-v15.2.3.5-Spa-140122_W_A4.pdf</t>
  </si>
  <si>
    <t>879123266LAPOPUru14-V15.2.4.2-Spa-140324_W.pdf</t>
  </si>
  <si>
    <t>1139038545LAPOPBol14-v15.2.3.2-Quechua-140323_W.pdf</t>
  </si>
  <si>
    <t>2034734982LAPOPBah14-V15.2.4.1-Eng-140612_W.pdf</t>
  </si>
  <si>
    <t>1106119498LAPOPDca16-V15.2.4.2-Eng-160112_W.pdf</t>
  </si>
  <si>
    <t>2003571071LAPOPBol14-v15.2.3.2-Aym-140323_W.pdf</t>
  </si>
  <si>
    <t>354247926LAPOPSur14-V15.2.4.4-Sra-140617_W.pdf</t>
  </si>
  <si>
    <t>386410555LAPOPStl16-V15.2.4.4-Eng-160201_W.pdf</t>
  </si>
  <si>
    <t>1617641174LAPOPStk16-V15.2.4.2-Eng-151216_W.pdf</t>
  </si>
  <si>
    <t>1125739622LAPOPAnt16-V15.2.4.2-Eng-151216_W.pdf</t>
  </si>
  <si>
    <t>1685157827ABPer17-v18.0.11.1-Spa-170203_W.pdf</t>
  </si>
  <si>
    <t>288530685LAPOPCos14-v15.2.2.2-Spa-140219_W.pdf</t>
  </si>
  <si>
    <t>905691160LAPOPStv16-V15.2.4.2-Eng-151217_W.pdf</t>
  </si>
  <si>
    <t>783073873LAPOPGre16-V15.2.4.3-Eng-151216_W.pdf</t>
  </si>
  <si>
    <t>1034661191LAPOPSur14-v15.2.4.4-Dut-140619_W.pdf</t>
  </si>
  <si>
    <t>445177969LAPOPMex14-v15.2.2.1-Spa-140114_W.pdf</t>
  </si>
  <si>
    <t>889703241LAPOPHai14-v15.2.3.1-Eng-140214_W.pdf </t>
  </si>
  <si>
    <t>12364388022004-2014 Grand Merge Codebook_V3.0_Free_W.pdf </t>
  </si>
  <si>
    <t>1054197763ABUS12-v10.0.1.2-Spa-Online Survey-120409_W.pdf </t>
  </si>
  <si>
    <t>15679094712010_Core_Questionnaire_SPANISH.pdf </t>
  </si>
  <si>
    <t>651425998ABSur12-v10.0.2.4-Dut-120425_W.pdf </t>
  </si>
  <si>
    <t>1435084394ABSur12-v10.0.2.2-Eng-120425_W.pdf </t>
  </si>
  <si>
    <t>664841849LAPOPCan14-V15.2.2.0-Eng-Online_Survey-140620_W.pdf </t>
  </si>
  <si>
    <t>1030308463LAPOPCan14-V15.2.2.0-Fre-Online_Survey-140828_W.pdf </t>
  </si>
  <si>
    <t>1295912352ABUS17-v18.0.3.1-Eng-Online Survey-170504_W.pdf </t>
  </si>
  <si>
    <t>1938999605ABHai12-V9.1.4.0-Eng-120104_VF_W.pdf </t>
  </si>
  <si>
    <t>1409537476ABHai12-V9.1.4.0-Creole-120104_VF_W.pdf </t>
  </si>
  <si>
    <t>1473291271LAPOPSur14-V15.2.4.2-Eng-140515_W.pdf </t>
  </si>
  <si>
    <t>817947147LAPOPGua14-v15.2.5.1-Spa-140327_W.pdf </t>
  </si>
  <si>
    <t>1180652188ABGuy12-v10.0.3.1-Eng-120118_W.pdf </t>
  </si>
  <si>
    <t>1091542633LAPOP2014-v15.2-Eng-131218_W.pdf </t>
  </si>
  <si>
    <t>63622196ABJam12-v10.0.2.1-Eng-120210_W.pdf </t>
  </si>
  <si>
    <t>1052038031ABVen16-v14.0.2.6-Spa-170105_W.pdf </t>
  </si>
  <si>
    <t>1088204337ABEcu16-v14.0.7.1-Spa-161107_W.pdf </t>
  </si>
  <si>
    <t>1945870122DomRep LAPOP AmericasBarometer 2012 Rev1_W.sav </t>
  </si>
  <si>
    <t>1970520867LAPOPGuy16-V15.2.6.0-Eng-160303_W.pdf </t>
  </si>
  <si>
    <t>2035948080LAPOP2014-v15.2-Spa-131218_W.pdf </t>
  </si>
  <si>
    <t>664264584LAPOPTri14-V15.2.4.1-Eng-140308_W.pdf </t>
  </si>
  <si>
    <t>713700907ABBel12-v10.0.1.1-Eng-120306_W.pdf </t>
  </si>
  <si>
    <t>844128648LAPOPHon14-v15.2.3.1-Spa-140314_W.pdf </t>
  </si>
  <si>
    <t>571265452LAPOPEls14-v15.2.2.3-Spa-140325_W.pdf </t>
  </si>
  <si>
    <t>446681011ABBel12-v10.0.1.2-Spa-120313_W.pdf </t>
  </si>
  <si>
    <t>1461505070ABBol12-V10.0.2.1-Quechua-120508_W.pdf </t>
  </si>
  <si>
    <t>1503287022ABRep16-v14.0.3.2-Spa-170202_W.pdf </t>
  </si>
  <si>
    <t>1707262442ABBol12-v10.0.2.1-Spa-120223_W.pdf </t>
  </si>
  <si>
    <t>781837751ABTri12-V10.0.2.2-Eng-120320_W.pdf </t>
  </si>
  <si>
    <t>763622927ABEcu12-v10.0.1.0-Spa-120127_W.pdf </t>
  </si>
  <si>
    <t>1171133318LAPOPJam14-v15.2.4.3-Eng-140220_W.pdf </t>
  </si>
  <si>
    <t>1859565254ABBol12-V10.0.2.1-Aym-120430_W.pdf </t>
  </si>
  <si>
    <t>1894672119ABNic16-v13.0.3.3-Spa-160913_W.pdf </t>
  </si>
  <si>
    <t>1788509698ABPan12-v10.0.3.0-Spa-120125_W.pdf </t>
  </si>
  <si>
    <t>293224884ABCos16-v11.0.5.0-Spa-160816_W.pdf </t>
  </si>
  <si>
    <t>1100557450ABJam17-v18.0.3.2-Eng-170213_W.pdf </t>
  </si>
  <si>
    <t>1727039552ABMex17-v16.0.2.1-Spa-170130_W.pdf </t>
  </si>
  <si>
    <t>102476357ABPar16-v14.0.6.4-Spa-Gua-161102_W.pdf </t>
  </si>
  <si>
    <t>469847136ABPar16-v14.0.6.4-Spa-Gua-161102_W.pdf </t>
  </si>
  <si>
    <t>444292633ABNic12-v10.0.1.3-Spa-120201_W.pdf </t>
  </si>
  <si>
    <t>1053282920ABArg12-v10.0.3.3-Spa-120228_W.pdf </t>
  </si>
  <si>
    <t>1927928837ABCos12-v10.0.1.1-Spa-120123_W.pdf </t>
  </si>
  <si>
    <t>311691868ABUru12-v10.0.4.1-Spa-120301_W.pdf </t>
  </si>
  <si>
    <t>260793346ABArg17-v18.0.7.0-Spa-170307_W.pdf </t>
  </si>
  <si>
    <t>291055575ABRep12-v10.0.3.0-Spa-120130_W.pdf </t>
  </si>
  <si>
    <t>18017015502010_Belice_Cuestionario.pdf </t>
  </si>
  <si>
    <t>1198371617ABBra12-v10.0.2.6-Por-120722_W.pdf </t>
  </si>
  <si>
    <t>43821536ABCor12-v10.0-Eng-120222_W.pdf </t>
  </si>
  <si>
    <t>1381977883ABGua12-v10.0.2.1-Spa-120311_W.pdf </t>
  </si>
  <si>
    <t>563786593ABCor12-v10.0-Spa-120117_W.pdf </t>
  </si>
  <si>
    <t>1054347574ABGua17-v18.0.2.0-Spa-170214_W.pdf </t>
  </si>
  <si>
    <t>1121386762ABChi12-v10.0.3.2-Spa-120307_W.pdf </t>
  </si>
  <si>
    <t>1742690002LAPOPCol14-v15.2.3.0-Spa-140325_W.pdf </t>
  </si>
  <si>
    <t>1807407256ABMex12-v10.0.2.0-Spa-120118_W.pdf </t>
  </si>
  <si>
    <t>1800498527ABEcu12-v10.0.1.3-Kichwa-120210_W.pdf </t>
  </si>
  <si>
    <t>1958371786ABGua12-v10.0.2.0-Kiche-120308_W.pdf </t>
  </si>
  <si>
    <t>930147908ABGua12-v10.0.2.0-Kiche-120308_W.pdf </t>
  </si>
  <si>
    <t>1580960269ABPar12-V10.0.1.1-Spa-Gua-120201_W.pdf </t>
  </si>
  <si>
    <t>1471843171ABHon12-v10.0.2.1-Spa-120118_W.pdf </t>
  </si>
  <si>
    <t>384743331ABHon16-v14.0.5.0-Spa-161013_W.pdf </t>
  </si>
  <si>
    <t>596424100ABVen12-v10.0.2.3-Spa-120403_W.pdf </t>
  </si>
  <si>
    <t>1486390985Ayiti_LAPOP_DIMS_2006_v23.pdf </t>
  </si>
  <si>
    <t>678857426ABEls12-v10.0.4.1-Spa-120405_W.pdf </t>
  </si>
  <si>
    <t>410218884ABGua12-v10.0.2.0-Qeqchi-120309_W.pdf </t>
  </si>
  <si>
    <t>1275069098ABPer12-v9.1.1.1-Spa-120113_A4(5)_W.pdf </t>
  </si>
  <si>
    <t>1177283467ABEls16-v14.0.2.2-Spa-161023_W.pdf </t>
  </si>
  <si>
    <t>17600748482010_Brasil_Questionnaire_Portuguese.pdf </t>
  </si>
  <si>
    <t>1293954103ABCor04-12-Spa_Grand Merge_Free_Rev1_W.pdf </t>
  </si>
  <si>
    <t>1084775958ABCor04-12-Spa_Grand Merge_Rev1_W.pdf </t>
  </si>
  <si>
    <t>373577961ABCol12-v10.0.5.0-Spa-120316_W.pdf </t>
  </si>
  <si>
    <t>389170919LAPOP_Brasil_Final_Questionnaire.pdf </t>
  </si>
  <si>
    <t>753391186ABCor04-12-Spa_Grand-Merge_W.pdf </t>
  </si>
  <si>
    <t>1346452956ABCor04-12-Spa_Grand-Merge_Free_W.pdf </t>
  </si>
  <si>
    <t>1604359859ABPan17-v18.0.2.2-Spa-170217_W.pdf </t>
  </si>
  <si>
    <t>215774101ABBra17-v18.0.5.6-Por-170410_W.pdf </t>
  </si>
  <si>
    <t>1774629649ABCol2016-v9.0.5.2-Spa-160802_W.pdf </t>
  </si>
  <si>
    <t>158845851ABChi17-v18.0.6.0-Spa-170411_W.pdf </t>
  </si>
  <si>
    <t>216680056ABUru17-v18.0.4.0-Spa-170314_W.pdf </t>
  </si>
  <si>
    <t>533873721AmericasBarometer Merged 2012 English Rev1.5_W_dta.zip </t>
  </si>
  <si>
    <t>1653523819AmericasBarometer Merged 2012 Spanish Rev1.5_W_dta.zip </t>
  </si>
  <si>
    <t>1433762558English_Merge_2010_AmericasBarometer_v14_spssv2.zip </t>
  </si>
  <si>
    <t>118346168barometro_de_las_americas_2004_v7_upload.dta </t>
  </si>
  <si>
    <t>720158497Barometro de las Americas 2004 v6 upload.sav </t>
  </si>
  <si>
    <t>765634716AmericasBarometer Merged 2014 v3.0_W_dta.zip </t>
  </si>
  <si>
    <t>1261849700AmericasBarometer Merged 2014 v3.0_W_dta.zip </t>
  </si>
  <si>
    <t>1603120541AmericasBarometer Merged 2012 English Rev1.5_W_sav.zip </t>
  </si>
  <si>
    <t>467010732AmericasBarometer Merged 2012 Spanish Rev1.5_W_sav.zip </t>
  </si>
  <si>
    <t>1247855269AmericasBarometer Merged 2014 English v3.0_W_sav.zip </t>
  </si>
  <si>
    <t>677207468AmericasBarometer Merged 2014 Espanol v3.0_W_sav.zip </t>
  </si>
  <si>
    <t>113606129bar_metro_de_las_am_ricas_2006v6.dta </t>
  </si>
  <si>
    <t>737491538Merge_ AB_ 2006 V20_5.sav </t>
  </si>
  <si>
    <t>1509927391AmericasBarometer 2008 to upload v6_1.sav </t>
  </si>
  <si>
    <t>1302324587Barómetro de las Américas 2008 to upload v6_1.sav </t>
  </si>
  <si>
    <t>1488019932AmericasBarometer 2008 to upload v7.dta </t>
  </si>
  <si>
    <t>203284188Barómetro de las Américas 2008 to upload v8.dta </t>
  </si>
  <si>
    <t>884953055merge_2010_bar_metro_de_las_am_ricas_hai_v14v3.dta </t>
  </si>
  <si>
    <t>1626360926english_merge_2010_americasbarometer_v14v3.dta </t>
  </si>
  <si>
    <t>332261038Merge 2010 Barómetro de las Américas Hai v14SPSSv2.sav </t>
  </si>
  <si>
    <t>746278534AmericasBarometer Grand Merge 2004-2014 v3.0_FREE_dta.zip </t>
  </si>
  <si>
    <t>785705945AmericasBarometer Grand Merge 2004-2014 V3.0_W_dta.zip </t>
  </si>
  <si>
    <t>621516204AmericasBarometer Grand Merge 2004-2014 English V3.0_FREE_sav.zip </t>
  </si>
  <si>
    <t>1245467915AmericasBarometer Grand Merge 2004-2014 English V3.0_W_sav.zip </t>
  </si>
  <si>
    <t>AmericasBarometer Grand Merge 2004-2014 v3.0_FREE.dta </t>
  </si>
  <si>
    <t>Grand total</t>
  </si>
  <si>
    <t>1 tech report</t>
  </si>
  <si>
    <t xml:space="preserve"> 9 Years04-11-Rev1-w.zip + 1 TS-Rev1-5-w.zip</t>
  </si>
  <si>
    <t>United States</t>
  </si>
  <si>
    <t>2 phone scripts, 1 codebook, 1 final questionnaire, 1 tech report</t>
  </si>
  <si>
    <t>zip (.dta + .sav)</t>
  </si>
  <si>
    <t>Additional file count (I)</t>
  </si>
  <si>
    <t>Filename (I)</t>
  </si>
  <si>
    <t>Additional file count (II)</t>
  </si>
  <si>
    <t>Filename (II)</t>
  </si>
  <si>
    <t>Additional file count (III)</t>
  </si>
  <si>
    <t>Filename (III)</t>
  </si>
  <si>
    <t>Additional file count (IV)</t>
  </si>
  <si>
    <t>Filename (IV)</t>
  </si>
  <si>
    <t>Additional file count (V)</t>
  </si>
  <si>
    <t>Filename (V)</t>
  </si>
  <si>
    <t>Additional file count (VI)</t>
  </si>
  <si>
    <t>Filename (VI)</t>
  </si>
  <si>
    <t>1991 1995 1999 04 06 08 10 12 14 16</t>
  </si>
  <si>
    <t>Misc</t>
  </si>
  <si>
    <t>Questionnaire/cuestionario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</si>
</sst>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222222"/>
      <name val="Calibri (Body)"/>
    </font>
    <font>
      <sz val="12"/>
      <color theme="1"/>
      <name val="Calibri (Body)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scheme val="minor"/>
    </font>
    <font>
      <b/>
      <u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7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right"/>
    </xf>
    <xf numFmtId="0" fontId="3" fillId="0" borderId="0" xfId="0" applyFont="1"/>
    <xf numFmtId="0" fontId="2" fillId="0" borderId="0" xfId="0" applyFont="1"/>
    <xf numFmtId="0" fontId="0" fillId="4" borderId="0" xfId="0" applyFill="1"/>
    <xf numFmtId="0" fontId="6" fillId="3" borderId="0" xfId="2" applyFont="1" applyBorder="1"/>
    <xf numFmtId="0" fontId="7" fillId="2" borderId="0" xfId="1" applyFont="1" applyBorder="1"/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17">
    <cellStyle name="40% - Accent1" xfId="1" builtinId="31"/>
    <cellStyle name="40% - Accent2" xfId="2" builtinId="35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Normal" xfId="0" builtinId="0"/>
  </cellStyles>
  <dxfs count="28">
    <dxf>
      <alignment horizontal="center" vertical="bottom" textRotation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(Body)"/>
        <scheme val="none"/>
      </font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alignment horizontal="center" vertical="bottom" textRotation="0" wrapText="0" indent="0" justifyLastLine="0" shrinkToFit="0" readingOrder="0"/>
    </dxf>
    <dxf>
      <alignment horizontal="center" vertical="bottom" textRotation="0" indent="0" justifyLastLine="0" shrinkToFit="0"/>
    </dxf>
    <dxf>
      <alignment horizontal="center" vertical="bottom" textRotation="0" indent="0" justifyLastLine="0" shrinkToFit="0"/>
    </dxf>
    <dxf>
      <font>
        <strike val="0"/>
        <outline val="0"/>
        <shadow val="0"/>
        <u/>
        <vertAlign val="baseline"/>
        <sz val="16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Z35" totalsRowShown="0" headerRowDxfId="27" dataDxfId="0">
  <autoFilter ref="A1:Z35"/>
  <tableColumns count="26">
    <tableColumn id="1" name="Country" dataDxfId="26"/>
    <tableColumn id="2" name="Number of datasets online" dataDxfId="25"/>
    <tableColumn id="3" name="Years (20xx)" dataDxfId="24"/>
    <tableColumn id="4" name="Comments" dataDxfId="23"/>
    <tableColumn id="5" name="Merged time-frame on box" dataDxfId="22"/>
    <tableColumn id="6" name="Years on box (y/n)" dataDxfId="21">
      <calculatedColumnFormula>IF(H2&lt;B2, "n", "y")</calculatedColumnFormula>
    </tableColumn>
    <tableColumn id="7" name="Files on box: TECH INFO" dataDxfId="20"/>
    <tableColumn id="8" name=".DTA" dataDxfId="19"/>
    <tableColumn id="9" name=".SAV" dataDxfId="18"/>
    <tableColumn id="10" name="zip (.dta + .sav)" dataDxfId="17"/>
    <tableColumn id="11" name="Questionnaire/cuestionario" dataDxfId="16"/>
    <tableColumn id="12" name="Change logs" dataDxfId="15"/>
    <tableColumn id="13" name="Misc" dataDxfId="14"/>
    <tableColumn id="14" name="Total" dataDxfId="13"/>
    <tableColumn id="15" name="Additional file count (I)" dataDxfId="12"/>
    <tableColumn id="16" name="Filename (I)" dataDxfId="11"/>
    <tableColumn id="17" name="Additional file count (II)" dataDxfId="10"/>
    <tableColumn id="18" name="Filename (II)" dataDxfId="9"/>
    <tableColumn id="19" name="Additional file count (III)" dataDxfId="8"/>
    <tableColumn id="20" name="Filename (III)" dataDxfId="7"/>
    <tableColumn id="21" name="Additional file count (IV)" dataDxfId="6"/>
    <tableColumn id="22" name="Filename (IV)" dataDxfId="5"/>
    <tableColumn id="23" name="Additional file count (V)" dataDxfId="4"/>
    <tableColumn id="24" name="Filename (V)" dataDxfId="3"/>
    <tableColumn id="25" name="Additional file count (VI)" dataDxfId="2"/>
    <tableColumn id="26" name="Filename (VI)" dataDxfId="1"/>
  </tableColumns>
  <tableStyleInfo name="TableStyleDark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Views>
    <sheetView tabSelected="1" topLeftCell="F1" workbookViewId="0">
      <selection activeCell="K1" sqref="K1"/>
    </sheetView>
  </sheetViews>
  <sheetFormatPr baseColWidth="10" defaultRowHeight="16" x14ac:dyDescent="0.2"/>
  <cols>
    <col min="1" max="1" width="28.1640625" bestFit="1" customWidth="1"/>
    <col min="2" max="2" width="35.83203125" bestFit="1" customWidth="1"/>
    <col min="3" max="3" width="61.5" style="1" bestFit="1" customWidth="1"/>
    <col min="4" max="4" width="43.1640625" bestFit="1" customWidth="1"/>
    <col min="5" max="5" width="36.33203125" bestFit="1" customWidth="1"/>
    <col min="6" max="6" width="26.6640625" bestFit="1" customWidth="1"/>
    <col min="7" max="7" width="32.6640625" bestFit="1" customWidth="1"/>
    <col min="8" max="8" width="11.6640625" bestFit="1" customWidth="1"/>
    <col min="9" max="9" width="11.5" bestFit="1" customWidth="1"/>
    <col min="10" max="10" width="23.1640625" bestFit="1" customWidth="1"/>
    <col min="11" max="11" width="38.1640625" bestFit="1" customWidth="1"/>
    <col min="12" max="12" width="19.6640625" bestFit="1" customWidth="1"/>
    <col min="13" max="13" width="61.1640625" bestFit="1" customWidth="1"/>
    <col min="14" max="14" width="18.83203125" bestFit="1" customWidth="1"/>
    <col min="15" max="15" width="32" bestFit="1" customWidth="1"/>
    <col min="16" max="16" width="65" style="2" bestFit="1" customWidth="1"/>
    <col min="17" max="17" width="32.6640625" bestFit="1" customWidth="1"/>
    <col min="18" max="18" width="57.83203125" style="2" bestFit="1" customWidth="1"/>
    <col min="19" max="19" width="33.33203125" bestFit="1" customWidth="1"/>
    <col min="20" max="20" width="56.1640625" style="2" bestFit="1" customWidth="1"/>
    <col min="21" max="21" width="33.5" bestFit="1" customWidth="1"/>
    <col min="22" max="22" width="47" style="2" bestFit="1" customWidth="1"/>
    <col min="23" max="23" width="32.83203125" bestFit="1" customWidth="1"/>
    <col min="24" max="24" width="61.1640625" style="2" bestFit="1" customWidth="1"/>
    <col min="25" max="25" width="33.5" bestFit="1" customWidth="1"/>
    <col min="26" max="26" width="69" style="2" bestFit="1" customWidth="1"/>
  </cols>
  <sheetData>
    <row r="1" spans="1:26" s="7" customFormat="1" ht="21" x14ac:dyDescent="0.25">
      <c r="A1" s="7" t="s">
        <v>0</v>
      </c>
      <c r="B1" s="7" t="s">
        <v>50</v>
      </c>
      <c r="C1" s="7" t="s">
        <v>37</v>
      </c>
      <c r="D1" s="7" t="s">
        <v>34</v>
      </c>
      <c r="E1" s="7" t="s">
        <v>63</v>
      </c>
      <c r="F1" s="7" t="s">
        <v>36</v>
      </c>
      <c r="G1" s="7" t="s">
        <v>72</v>
      </c>
      <c r="H1" s="7" t="s">
        <v>65</v>
      </c>
      <c r="I1" s="7" t="s">
        <v>66</v>
      </c>
      <c r="J1" s="7" t="s">
        <v>277</v>
      </c>
      <c r="K1" s="7" t="s">
        <v>292</v>
      </c>
      <c r="L1" s="7" t="s">
        <v>71</v>
      </c>
      <c r="M1" s="7" t="s">
        <v>291</v>
      </c>
      <c r="N1" s="7" t="s">
        <v>97</v>
      </c>
      <c r="O1" s="7" t="s">
        <v>278</v>
      </c>
      <c r="P1" s="7" t="s">
        <v>279</v>
      </c>
      <c r="Q1" s="7" t="s">
        <v>280</v>
      </c>
      <c r="R1" s="7" t="s">
        <v>281</v>
      </c>
      <c r="S1" s="7" t="s">
        <v>282</v>
      </c>
      <c r="T1" s="7" t="s">
        <v>283</v>
      </c>
      <c r="U1" s="7" t="s">
        <v>284</v>
      </c>
      <c r="V1" s="7" t="s">
        <v>285</v>
      </c>
      <c r="W1" s="7" t="s">
        <v>286</v>
      </c>
      <c r="X1" s="7" t="s">
        <v>287</v>
      </c>
      <c r="Y1" s="7" t="s">
        <v>288</v>
      </c>
      <c r="Z1" s="7" t="s">
        <v>289</v>
      </c>
    </row>
    <row r="2" spans="1:26" s="8" customFormat="1" x14ac:dyDescent="0.2">
      <c r="A2" s="8" t="s">
        <v>2</v>
      </c>
      <c r="B2" s="8">
        <v>1</v>
      </c>
      <c r="C2" s="8">
        <v>16</v>
      </c>
      <c r="F2" s="8" t="s">
        <v>64</v>
      </c>
      <c r="G2" s="8" t="s">
        <v>67</v>
      </c>
      <c r="H2" s="8">
        <v>1</v>
      </c>
      <c r="I2" s="8">
        <v>1</v>
      </c>
      <c r="N2" s="8">
        <v>4</v>
      </c>
      <c r="O2" s="8">
        <v>10</v>
      </c>
      <c r="P2" s="9" t="s">
        <v>274</v>
      </c>
      <c r="Q2" s="8">
        <v>1</v>
      </c>
      <c r="R2" s="10" t="s">
        <v>122</v>
      </c>
      <c r="S2" s="8">
        <v>1</v>
      </c>
      <c r="T2" s="10" t="s">
        <v>154</v>
      </c>
      <c r="U2" s="8">
        <v>1</v>
      </c>
      <c r="V2" s="10" t="s">
        <v>199</v>
      </c>
      <c r="W2" s="8">
        <v>1</v>
      </c>
      <c r="X2" s="10" t="s">
        <v>233</v>
      </c>
      <c r="Y2" s="8">
        <v>1</v>
      </c>
      <c r="Z2" s="10" t="s">
        <v>267</v>
      </c>
    </row>
    <row r="3" spans="1:26" s="8" customFormat="1" x14ac:dyDescent="0.2">
      <c r="A3" s="8" t="s">
        <v>1</v>
      </c>
      <c r="B3" s="8">
        <v>5</v>
      </c>
      <c r="C3" s="8" t="s">
        <v>38</v>
      </c>
      <c r="E3" s="8" t="s">
        <v>68</v>
      </c>
      <c r="F3" s="8" t="s">
        <v>69</v>
      </c>
      <c r="G3" s="8">
        <v>5</v>
      </c>
      <c r="H3" s="8">
        <v>5</v>
      </c>
      <c r="I3" s="8">
        <v>4</v>
      </c>
      <c r="J3" s="8">
        <v>2</v>
      </c>
      <c r="K3" s="8">
        <v>1</v>
      </c>
      <c r="L3" s="8">
        <v>2</v>
      </c>
      <c r="N3" s="8">
        <f>SUM(G3:L3)</f>
        <v>19</v>
      </c>
      <c r="O3" s="8">
        <v>66</v>
      </c>
      <c r="P3" s="9" t="s">
        <v>100</v>
      </c>
      <c r="Q3" s="8">
        <v>1</v>
      </c>
      <c r="R3" s="10" t="s">
        <v>123</v>
      </c>
      <c r="S3" s="8">
        <v>1</v>
      </c>
      <c r="T3" s="10" t="s">
        <v>155</v>
      </c>
      <c r="U3" s="8">
        <v>1</v>
      </c>
      <c r="V3" s="10" t="s">
        <v>200</v>
      </c>
      <c r="W3" s="8">
        <v>1</v>
      </c>
      <c r="X3" s="10" t="s">
        <v>234</v>
      </c>
      <c r="Y3" s="8">
        <v>1</v>
      </c>
      <c r="Z3" s="10" t="s">
        <v>268</v>
      </c>
    </row>
    <row r="4" spans="1:26" s="8" customFormat="1" x14ac:dyDescent="0.2">
      <c r="A4" s="8" t="s">
        <v>3</v>
      </c>
      <c r="B4" s="8">
        <v>1</v>
      </c>
      <c r="C4" s="8">
        <v>14</v>
      </c>
      <c r="F4" s="8" t="s">
        <v>64</v>
      </c>
      <c r="G4" s="8">
        <v>1</v>
      </c>
      <c r="H4" s="8">
        <v>1</v>
      </c>
      <c r="I4" s="8">
        <v>1</v>
      </c>
      <c r="L4" s="8">
        <v>2</v>
      </c>
      <c r="N4" s="8">
        <f>SUM(G4:L4)</f>
        <v>5</v>
      </c>
      <c r="O4" s="8">
        <v>1</v>
      </c>
      <c r="P4" s="9" t="s">
        <v>102</v>
      </c>
      <c r="Q4" s="8">
        <v>1</v>
      </c>
      <c r="R4" s="10" t="s">
        <v>124</v>
      </c>
      <c r="S4" s="8">
        <v>1</v>
      </c>
      <c r="T4" s="10" t="s">
        <v>156</v>
      </c>
      <c r="U4" s="8">
        <v>1</v>
      </c>
      <c r="V4" s="10" t="s">
        <v>201</v>
      </c>
      <c r="W4" s="8">
        <v>1</v>
      </c>
      <c r="X4" s="10" t="s">
        <v>235</v>
      </c>
      <c r="Y4" s="8">
        <v>1</v>
      </c>
      <c r="Z4" s="10" t="s">
        <v>269</v>
      </c>
    </row>
    <row r="5" spans="1:26" s="8" customFormat="1" x14ac:dyDescent="0.2">
      <c r="A5" s="8" t="s">
        <v>4</v>
      </c>
      <c r="B5" s="8">
        <v>1</v>
      </c>
      <c r="C5" s="8">
        <v>14</v>
      </c>
      <c r="F5" s="8" t="s">
        <v>64</v>
      </c>
      <c r="G5" s="8">
        <v>1</v>
      </c>
      <c r="H5" s="8">
        <v>1</v>
      </c>
      <c r="J5" s="8" t="s">
        <v>96</v>
      </c>
      <c r="N5" s="8">
        <f>SUM(G5:L5)+1</f>
        <v>3</v>
      </c>
      <c r="O5" s="9">
        <v>1</v>
      </c>
      <c r="P5" s="9" t="s">
        <v>98</v>
      </c>
      <c r="Q5" s="8">
        <v>1</v>
      </c>
      <c r="R5" s="10" t="s">
        <v>125</v>
      </c>
      <c r="S5" s="8">
        <v>1</v>
      </c>
      <c r="T5" s="10" t="s">
        <v>157</v>
      </c>
      <c r="U5" s="8">
        <v>1</v>
      </c>
      <c r="V5" s="10" t="s">
        <v>202</v>
      </c>
      <c r="W5" s="8">
        <v>1</v>
      </c>
      <c r="X5" s="10" t="s">
        <v>236</v>
      </c>
      <c r="Y5" s="8">
        <v>1</v>
      </c>
      <c r="Z5" s="10" t="s">
        <v>270</v>
      </c>
    </row>
    <row r="6" spans="1:26" s="8" customFormat="1" x14ac:dyDescent="0.2">
      <c r="A6" s="8" t="s">
        <v>5</v>
      </c>
      <c r="B6" s="8">
        <v>4</v>
      </c>
      <c r="C6" s="8" t="s">
        <v>39</v>
      </c>
      <c r="E6" s="8" t="s">
        <v>68</v>
      </c>
      <c r="F6" s="8" t="s">
        <v>70</v>
      </c>
      <c r="G6" s="8">
        <v>3</v>
      </c>
      <c r="H6" s="8">
        <v>3</v>
      </c>
      <c r="I6" s="8">
        <v>3</v>
      </c>
      <c r="J6" s="8">
        <v>2</v>
      </c>
      <c r="K6" s="8">
        <v>2</v>
      </c>
      <c r="L6" s="8">
        <v>2</v>
      </c>
      <c r="M6" s="8" t="s">
        <v>273</v>
      </c>
      <c r="N6" s="8">
        <f>SUM(G6:L6)+1</f>
        <v>16</v>
      </c>
      <c r="O6" s="10">
        <v>1</v>
      </c>
      <c r="P6" s="9" t="s">
        <v>99</v>
      </c>
      <c r="Q6" s="8">
        <v>1</v>
      </c>
      <c r="R6" s="10" t="s">
        <v>126</v>
      </c>
      <c r="S6" s="8">
        <v>1</v>
      </c>
      <c r="T6" s="10" t="s">
        <v>158</v>
      </c>
      <c r="U6" s="8">
        <v>1</v>
      </c>
      <c r="V6" s="10" t="s">
        <v>203</v>
      </c>
      <c r="W6" s="8">
        <v>1</v>
      </c>
      <c r="X6" s="10" t="s">
        <v>237</v>
      </c>
      <c r="Y6" s="8">
        <v>1</v>
      </c>
      <c r="Z6" s="10" t="s">
        <v>271</v>
      </c>
    </row>
    <row r="7" spans="1:26" s="8" customFormat="1" x14ac:dyDescent="0.2">
      <c r="A7" s="8" t="s">
        <v>6</v>
      </c>
      <c r="B7" s="8">
        <v>10</v>
      </c>
      <c r="C7" s="8" t="s">
        <v>40</v>
      </c>
      <c r="D7" s="8" t="s">
        <v>35</v>
      </c>
      <c r="E7" s="8" t="s">
        <v>73</v>
      </c>
      <c r="F7" s="8" t="str">
        <f>IF(H7&lt;B7, "n", "y")</f>
        <v>n</v>
      </c>
      <c r="G7" s="8">
        <v>7</v>
      </c>
      <c r="H7" s="8">
        <v>7</v>
      </c>
      <c r="I7" s="8">
        <v>6</v>
      </c>
      <c r="J7" s="8">
        <v>2</v>
      </c>
      <c r="K7" s="8">
        <v>12</v>
      </c>
      <c r="L7" s="8">
        <v>2</v>
      </c>
      <c r="M7" s="8" t="s">
        <v>74</v>
      </c>
      <c r="N7" s="8">
        <f>SUM(G7:L7)+1</f>
        <v>37</v>
      </c>
      <c r="O7" s="8">
        <v>7</v>
      </c>
      <c r="P7" s="9" t="s">
        <v>101</v>
      </c>
      <c r="Q7" s="8">
        <v>1</v>
      </c>
      <c r="R7" s="10" t="s">
        <v>127</v>
      </c>
      <c r="S7" s="8">
        <v>1</v>
      </c>
      <c r="T7" s="10" t="s">
        <v>159</v>
      </c>
      <c r="U7" s="8">
        <v>1</v>
      </c>
      <c r="V7" s="10" t="s">
        <v>204</v>
      </c>
      <c r="W7" s="8">
        <v>1</v>
      </c>
      <c r="X7" s="10" t="s">
        <v>238</v>
      </c>
      <c r="Z7" s="9"/>
    </row>
    <row r="8" spans="1:26" s="8" customFormat="1" x14ac:dyDescent="0.2">
      <c r="A8" s="8" t="s">
        <v>7</v>
      </c>
      <c r="B8" s="8">
        <v>6</v>
      </c>
      <c r="C8" s="8" t="s">
        <v>41</v>
      </c>
      <c r="E8" s="8" t="s">
        <v>75</v>
      </c>
      <c r="F8" s="8" t="str">
        <f>IF(H8&lt;B8, "n", "y")</f>
        <v>y</v>
      </c>
      <c r="G8" s="8">
        <v>5</v>
      </c>
      <c r="H8" s="8">
        <v>6</v>
      </c>
      <c r="I8" s="8">
        <v>5</v>
      </c>
      <c r="J8" s="8">
        <v>2</v>
      </c>
      <c r="L8" s="8">
        <v>2</v>
      </c>
      <c r="M8" s="8" t="s">
        <v>76</v>
      </c>
      <c r="N8" s="8">
        <v>21</v>
      </c>
      <c r="O8" s="8">
        <v>1</v>
      </c>
      <c r="P8" s="9" t="s">
        <v>103</v>
      </c>
      <c r="Q8" s="8">
        <v>1</v>
      </c>
      <c r="R8" s="10" t="s">
        <v>128</v>
      </c>
      <c r="S8" s="8">
        <v>1</v>
      </c>
      <c r="T8" s="10" t="s">
        <v>160</v>
      </c>
      <c r="U8" s="8">
        <v>1</v>
      </c>
      <c r="V8" s="10" t="s">
        <v>205</v>
      </c>
      <c r="W8" s="8">
        <v>1</v>
      </c>
      <c r="X8" s="10" t="s">
        <v>239</v>
      </c>
      <c r="Z8" s="9"/>
    </row>
    <row r="9" spans="1:26" s="8" customFormat="1" x14ac:dyDescent="0.2">
      <c r="A9" s="8" t="s">
        <v>8</v>
      </c>
      <c r="B9" s="8">
        <v>6</v>
      </c>
      <c r="C9" s="8" t="s">
        <v>41</v>
      </c>
      <c r="E9" s="8" t="s">
        <v>77</v>
      </c>
      <c r="F9" s="8" t="str">
        <f>IF(H9&lt;B9, "n", "y")</f>
        <v>y</v>
      </c>
      <c r="G9" s="8">
        <v>2</v>
      </c>
      <c r="H9" s="8">
        <v>6</v>
      </c>
      <c r="I9" s="8">
        <v>5</v>
      </c>
      <c r="J9" s="8">
        <v>2</v>
      </c>
      <c r="K9" s="8">
        <v>2</v>
      </c>
      <c r="L9" s="8">
        <v>2</v>
      </c>
      <c r="M9" s="8" t="s">
        <v>276</v>
      </c>
      <c r="N9" s="8">
        <v>24</v>
      </c>
      <c r="O9" s="8">
        <v>1</v>
      </c>
      <c r="P9" s="10" t="s">
        <v>170</v>
      </c>
      <c r="Q9" s="8">
        <v>1</v>
      </c>
      <c r="R9" s="10" t="s">
        <v>129</v>
      </c>
      <c r="S9" s="8">
        <v>1</v>
      </c>
      <c r="T9" s="10" t="s">
        <v>161</v>
      </c>
      <c r="U9" s="8">
        <v>1</v>
      </c>
      <c r="V9" s="10" t="s">
        <v>206</v>
      </c>
      <c r="W9" s="8">
        <v>1</v>
      </c>
      <c r="X9" s="10" t="s">
        <v>240</v>
      </c>
      <c r="Z9" s="9"/>
    </row>
    <row r="10" spans="1:26" s="8" customFormat="1" x14ac:dyDescent="0.2">
      <c r="A10" s="8" t="s">
        <v>9</v>
      </c>
      <c r="B10" s="8">
        <v>6</v>
      </c>
      <c r="C10" s="8" t="s">
        <v>41</v>
      </c>
      <c r="E10" s="8" t="s">
        <v>77</v>
      </c>
      <c r="F10" s="8" t="str">
        <f t="shared" ref="F10:F17" si="0">IF(H10&lt;B10, "n", "y")</f>
        <v>y</v>
      </c>
      <c r="G10" s="8">
        <v>6</v>
      </c>
      <c r="H10" s="8">
        <v>6</v>
      </c>
      <c r="I10" s="8">
        <v>5</v>
      </c>
      <c r="J10" s="8">
        <v>2</v>
      </c>
      <c r="K10" s="8">
        <v>1</v>
      </c>
      <c r="L10" s="8">
        <v>2</v>
      </c>
      <c r="M10" s="8" t="s">
        <v>78</v>
      </c>
      <c r="N10" s="8">
        <v>25</v>
      </c>
      <c r="O10" s="8">
        <v>1</v>
      </c>
      <c r="P10" s="10" t="s">
        <v>104</v>
      </c>
      <c r="Q10" s="8">
        <v>1</v>
      </c>
      <c r="R10" s="10" t="s">
        <v>130</v>
      </c>
      <c r="S10" s="8">
        <v>1</v>
      </c>
      <c r="T10" s="10" t="s">
        <v>162</v>
      </c>
      <c r="U10" s="8">
        <v>1</v>
      </c>
      <c r="V10" s="10" t="s">
        <v>207</v>
      </c>
      <c r="W10" s="8">
        <v>1</v>
      </c>
      <c r="X10" s="10" t="s">
        <v>241</v>
      </c>
      <c r="Z10" s="9"/>
    </row>
    <row r="11" spans="1:26" s="8" customFormat="1" x14ac:dyDescent="0.2">
      <c r="A11" s="8" t="s">
        <v>10</v>
      </c>
      <c r="B11" s="8">
        <v>12</v>
      </c>
      <c r="C11" s="8" t="s">
        <v>42</v>
      </c>
      <c r="E11" s="8" t="s">
        <v>73</v>
      </c>
      <c r="F11" s="8" t="str">
        <f t="shared" si="0"/>
        <v>y</v>
      </c>
      <c r="G11" s="8">
        <v>13</v>
      </c>
      <c r="H11" s="8">
        <v>13</v>
      </c>
      <c r="I11" s="8">
        <v>12</v>
      </c>
      <c r="J11" s="8">
        <v>2</v>
      </c>
      <c r="K11" s="8">
        <v>8</v>
      </c>
      <c r="L11" s="8">
        <v>2</v>
      </c>
      <c r="M11" s="8" t="s">
        <v>95</v>
      </c>
      <c r="N11" s="8">
        <v>51</v>
      </c>
      <c r="O11" s="8">
        <v>1</v>
      </c>
      <c r="P11" s="10" t="s">
        <v>105</v>
      </c>
      <c r="Q11" s="8">
        <v>1</v>
      </c>
      <c r="R11" s="10" t="s">
        <v>131</v>
      </c>
      <c r="S11" s="8">
        <v>1</v>
      </c>
      <c r="T11" s="10" t="s">
        <v>163</v>
      </c>
      <c r="U11" s="8">
        <v>1</v>
      </c>
      <c r="V11" s="10" t="s">
        <v>208</v>
      </c>
      <c r="W11" s="8">
        <v>1</v>
      </c>
      <c r="X11" s="10" t="s">
        <v>242</v>
      </c>
      <c r="Z11" s="9"/>
    </row>
    <row r="12" spans="1:26" s="8" customFormat="1" x14ac:dyDescent="0.2">
      <c r="A12" s="8" t="s">
        <v>11</v>
      </c>
      <c r="B12" s="8">
        <v>17</v>
      </c>
      <c r="C12" s="8" t="s">
        <v>43</v>
      </c>
      <c r="D12" s="8" t="s">
        <v>55</v>
      </c>
      <c r="E12" s="8" t="s">
        <v>73</v>
      </c>
      <c r="F12" s="8" t="str">
        <f t="shared" si="0"/>
        <v>n</v>
      </c>
      <c r="G12" s="8">
        <v>7</v>
      </c>
      <c r="H12" s="8">
        <v>9</v>
      </c>
      <c r="I12" s="8">
        <v>6</v>
      </c>
      <c r="J12" s="8">
        <v>2</v>
      </c>
      <c r="K12" s="8">
        <v>2</v>
      </c>
      <c r="L12" s="8">
        <v>2</v>
      </c>
      <c r="M12" s="8" t="s">
        <v>79</v>
      </c>
      <c r="N12" s="8">
        <v>30</v>
      </c>
      <c r="O12" s="8">
        <v>1</v>
      </c>
      <c r="P12" s="10" t="s">
        <v>106</v>
      </c>
      <c r="Q12" s="8">
        <v>1</v>
      </c>
      <c r="R12" s="10" t="s">
        <v>132</v>
      </c>
      <c r="S12" s="8">
        <v>1</v>
      </c>
      <c r="T12" s="10" t="s">
        <v>164</v>
      </c>
      <c r="U12" s="8">
        <v>1</v>
      </c>
      <c r="V12" s="10" t="s">
        <v>209</v>
      </c>
      <c r="W12" s="8">
        <v>1</v>
      </c>
      <c r="X12" s="10" t="s">
        <v>243</v>
      </c>
      <c r="Z12" s="9"/>
    </row>
    <row r="13" spans="1:26" s="8" customFormat="1" x14ac:dyDescent="0.2">
      <c r="A13" s="8" t="s">
        <v>12</v>
      </c>
      <c r="B13" s="8">
        <v>1</v>
      </c>
      <c r="C13" s="8">
        <v>16</v>
      </c>
      <c r="F13" s="8" t="str">
        <f t="shared" si="0"/>
        <v>y</v>
      </c>
      <c r="G13" s="8">
        <v>2</v>
      </c>
      <c r="H13" s="8">
        <v>1</v>
      </c>
      <c r="I13" s="8">
        <v>1</v>
      </c>
      <c r="N13" s="8">
        <f t="shared" ref="N13" si="1">SUM(G13:L13)</f>
        <v>4</v>
      </c>
      <c r="O13" s="8">
        <v>1</v>
      </c>
      <c r="P13" s="10" t="s">
        <v>107</v>
      </c>
      <c r="Q13" s="8">
        <v>1</v>
      </c>
      <c r="R13" s="10" t="s">
        <v>133</v>
      </c>
      <c r="S13" s="8">
        <v>1</v>
      </c>
      <c r="T13" s="10" t="s">
        <v>165</v>
      </c>
      <c r="U13" s="8">
        <v>1</v>
      </c>
      <c r="V13" s="10" t="s">
        <v>210</v>
      </c>
      <c r="W13" s="8">
        <v>1</v>
      </c>
      <c r="X13" s="10" t="s">
        <v>244</v>
      </c>
      <c r="Z13" s="9"/>
    </row>
    <row r="14" spans="1:26" s="8" customFormat="1" x14ac:dyDescent="0.2">
      <c r="A14" s="8" t="s">
        <v>13</v>
      </c>
      <c r="B14" s="8">
        <v>7</v>
      </c>
      <c r="C14" s="8" t="s">
        <v>44</v>
      </c>
      <c r="E14" s="8" t="s">
        <v>73</v>
      </c>
      <c r="F14" s="8" t="str">
        <f t="shared" si="0"/>
        <v>n</v>
      </c>
      <c r="G14" s="8">
        <v>5</v>
      </c>
      <c r="H14" s="8">
        <v>5</v>
      </c>
      <c r="I14" s="8">
        <v>4</v>
      </c>
      <c r="J14" s="8">
        <v>2</v>
      </c>
      <c r="K14" s="8">
        <v>2</v>
      </c>
      <c r="L14" s="8">
        <v>2</v>
      </c>
      <c r="M14" s="8" t="s">
        <v>79</v>
      </c>
      <c r="N14" s="8">
        <v>22</v>
      </c>
      <c r="O14" s="8">
        <v>1</v>
      </c>
      <c r="P14" s="10" t="s">
        <v>108</v>
      </c>
      <c r="Q14" s="8">
        <v>1</v>
      </c>
      <c r="R14" s="10" t="s">
        <v>168</v>
      </c>
      <c r="S14" s="8">
        <v>1</v>
      </c>
      <c r="T14" s="10" t="s">
        <v>166</v>
      </c>
      <c r="U14" s="8">
        <v>1</v>
      </c>
      <c r="V14" s="10" t="s">
        <v>211</v>
      </c>
      <c r="W14" s="8">
        <v>1</v>
      </c>
      <c r="X14" s="10" t="s">
        <v>245</v>
      </c>
      <c r="Z14" s="9"/>
    </row>
    <row r="15" spans="1:26" s="8" customFormat="1" x14ac:dyDescent="0.2">
      <c r="A15" s="8" t="s">
        <v>14</v>
      </c>
      <c r="B15" s="8">
        <v>10</v>
      </c>
      <c r="C15" s="8" t="s">
        <v>45</v>
      </c>
      <c r="D15" s="8" t="s">
        <v>46</v>
      </c>
      <c r="E15" s="8" t="s">
        <v>73</v>
      </c>
      <c r="F15" s="8" t="str">
        <f t="shared" si="0"/>
        <v>n</v>
      </c>
      <c r="G15" s="8">
        <v>6</v>
      </c>
      <c r="H15" s="8">
        <v>7</v>
      </c>
      <c r="I15" s="8">
        <v>6</v>
      </c>
      <c r="J15" s="8">
        <v>2</v>
      </c>
      <c r="K15" s="8">
        <v>4</v>
      </c>
      <c r="L15" s="8">
        <v>2</v>
      </c>
      <c r="M15" s="8" t="s">
        <v>80</v>
      </c>
      <c r="N15" s="8">
        <v>28</v>
      </c>
      <c r="O15" s="8">
        <v>1</v>
      </c>
      <c r="P15" s="10" t="s">
        <v>109</v>
      </c>
      <c r="Q15" s="8">
        <v>1</v>
      </c>
      <c r="R15" s="10" t="s">
        <v>169</v>
      </c>
      <c r="S15" s="8">
        <v>1</v>
      </c>
      <c r="T15" s="10" t="s">
        <v>167</v>
      </c>
      <c r="U15" s="8">
        <v>1</v>
      </c>
      <c r="V15" s="10" t="s">
        <v>212</v>
      </c>
      <c r="W15" s="8">
        <v>1</v>
      </c>
      <c r="X15" s="10" t="s">
        <v>246</v>
      </c>
      <c r="Z15" s="9"/>
    </row>
    <row r="16" spans="1:26" s="8" customFormat="1" x14ac:dyDescent="0.2">
      <c r="A16" s="8" t="s">
        <v>15</v>
      </c>
      <c r="B16" s="8">
        <v>10</v>
      </c>
      <c r="C16" s="8" t="s">
        <v>290</v>
      </c>
      <c r="D16" s="8" t="s">
        <v>47</v>
      </c>
      <c r="E16" s="8" t="s">
        <v>73</v>
      </c>
      <c r="F16" s="8" t="str">
        <f t="shared" si="0"/>
        <v>n</v>
      </c>
      <c r="G16" s="8">
        <v>7</v>
      </c>
      <c r="H16" s="8">
        <v>7</v>
      </c>
      <c r="I16" s="8">
        <v>6</v>
      </c>
      <c r="J16" s="8" t="s">
        <v>81</v>
      </c>
      <c r="K16" s="8">
        <v>3</v>
      </c>
      <c r="L16" s="8">
        <v>2</v>
      </c>
      <c r="M16" s="8" t="s">
        <v>82</v>
      </c>
      <c r="N16" s="8">
        <v>30</v>
      </c>
      <c r="O16" s="8">
        <v>1</v>
      </c>
      <c r="P16" s="10" t="s">
        <v>110</v>
      </c>
      <c r="Q16" s="8">
        <v>1</v>
      </c>
      <c r="R16" s="10" t="s">
        <v>134</v>
      </c>
      <c r="S16" s="8">
        <v>1</v>
      </c>
      <c r="T16" s="10" t="s">
        <v>179</v>
      </c>
      <c r="U16" s="8">
        <v>1</v>
      </c>
      <c r="V16" s="10" t="s">
        <v>213</v>
      </c>
      <c r="W16" s="8">
        <v>1</v>
      </c>
      <c r="X16" s="10" t="s">
        <v>247</v>
      </c>
      <c r="Z16" s="9"/>
    </row>
    <row r="17" spans="1:26" s="8" customFormat="1" x14ac:dyDescent="0.2">
      <c r="A17" s="8" t="s">
        <v>16</v>
      </c>
      <c r="B17" s="8">
        <v>1</v>
      </c>
      <c r="C17" s="8">
        <v>16</v>
      </c>
      <c r="F17" s="8" t="str">
        <f t="shared" si="0"/>
        <v>y</v>
      </c>
      <c r="G17" s="8">
        <v>2</v>
      </c>
      <c r="H17" s="8">
        <v>1</v>
      </c>
      <c r="I17" s="8">
        <v>1</v>
      </c>
      <c r="N17" s="8">
        <v>30</v>
      </c>
      <c r="O17" s="8">
        <v>1</v>
      </c>
      <c r="P17" s="10" t="s">
        <v>111</v>
      </c>
      <c r="Q17" s="8">
        <v>1</v>
      </c>
      <c r="R17" s="10" t="s">
        <v>135</v>
      </c>
      <c r="S17" s="8">
        <v>1</v>
      </c>
      <c r="T17" s="10" t="s">
        <v>180</v>
      </c>
      <c r="U17" s="8">
        <v>1</v>
      </c>
      <c r="V17" s="10" t="s">
        <v>214</v>
      </c>
      <c r="W17" s="8">
        <v>1</v>
      </c>
      <c r="X17" s="10" t="s">
        <v>248</v>
      </c>
      <c r="Z17" s="9"/>
    </row>
    <row r="18" spans="1:26" s="8" customFormat="1" x14ac:dyDescent="0.2">
      <c r="A18" s="8" t="s">
        <v>17</v>
      </c>
      <c r="B18" s="8">
        <v>13</v>
      </c>
      <c r="C18" s="8" t="s">
        <v>48</v>
      </c>
      <c r="D18" s="8" t="s">
        <v>49</v>
      </c>
      <c r="E18" s="8" t="s">
        <v>73</v>
      </c>
      <c r="F18" s="8" t="str">
        <f t="shared" ref="F18:F30" si="2">IF(H18&lt;B18, "n", "y")</f>
        <v>n</v>
      </c>
      <c r="G18" s="8">
        <v>6</v>
      </c>
      <c r="H18" s="8">
        <v>8</v>
      </c>
      <c r="I18" s="8">
        <v>6</v>
      </c>
      <c r="J18" s="8">
        <v>2</v>
      </c>
      <c r="K18" s="8">
        <v>2</v>
      </c>
      <c r="L18" s="8">
        <v>2</v>
      </c>
      <c r="M18" s="11" t="s">
        <v>84</v>
      </c>
      <c r="N18" s="8">
        <v>28</v>
      </c>
      <c r="O18" s="8">
        <v>1</v>
      </c>
      <c r="P18" s="10" t="s">
        <v>112</v>
      </c>
      <c r="Q18" s="8">
        <v>1</v>
      </c>
      <c r="R18" s="10" t="s">
        <v>136</v>
      </c>
      <c r="S18" s="8">
        <v>1</v>
      </c>
      <c r="T18" s="10" t="s">
        <v>181</v>
      </c>
      <c r="U18" s="8">
        <v>1</v>
      </c>
      <c r="V18" s="10" t="s">
        <v>215</v>
      </c>
      <c r="W18" s="8">
        <v>1</v>
      </c>
      <c r="X18" s="10" t="s">
        <v>249</v>
      </c>
      <c r="Z18" s="9"/>
    </row>
    <row r="19" spans="1:26" s="8" customFormat="1" x14ac:dyDescent="0.2">
      <c r="A19" s="8" t="s">
        <v>18</v>
      </c>
      <c r="B19" s="8">
        <v>6</v>
      </c>
      <c r="C19" s="8" t="s">
        <v>41</v>
      </c>
      <c r="E19" s="8" t="s">
        <v>77</v>
      </c>
      <c r="F19" s="8" t="str">
        <f t="shared" si="2"/>
        <v>y</v>
      </c>
      <c r="G19" s="8">
        <v>7</v>
      </c>
      <c r="H19" s="8">
        <v>6</v>
      </c>
      <c r="I19" s="8">
        <v>6</v>
      </c>
      <c r="J19" s="8">
        <v>2</v>
      </c>
      <c r="K19" s="8">
        <v>2</v>
      </c>
      <c r="L19" s="8">
        <v>2</v>
      </c>
      <c r="M19" s="8" t="s">
        <v>83</v>
      </c>
      <c r="N19" s="8">
        <v>26</v>
      </c>
      <c r="O19" s="8">
        <v>1</v>
      </c>
      <c r="P19" s="10" t="s">
        <v>113</v>
      </c>
      <c r="Q19" s="8">
        <v>1</v>
      </c>
      <c r="R19" s="10" t="s">
        <v>137</v>
      </c>
      <c r="S19" s="8">
        <v>1</v>
      </c>
      <c r="T19" s="10" t="s">
        <v>182</v>
      </c>
      <c r="U19" s="8">
        <v>1</v>
      </c>
      <c r="V19" s="10" t="s">
        <v>216</v>
      </c>
      <c r="W19" s="8">
        <v>1</v>
      </c>
      <c r="X19" s="10" t="s">
        <v>250</v>
      </c>
      <c r="Z19" s="9"/>
    </row>
    <row r="20" spans="1:26" s="8" customFormat="1" x14ac:dyDescent="0.2">
      <c r="A20" s="8" t="s">
        <v>19</v>
      </c>
      <c r="B20" s="8">
        <v>6</v>
      </c>
      <c r="C20" s="8" t="s">
        <v>41</v>
      </c>
      <c r="E20" s="8" t="s">
        <v>77</v>
      </c>
      <c r="F20" s="8" t="str">
        <f t="shared" si="2"/>
        <v>y</v>
      </c>
      <c r="G20" s="8">
        <v>6</v>
      </c>
      <c r="H20" s="8">
        <v>6</v>
      </c>
      <c r="I20" s="8">
        <v>5</v>
      </c>
      <c r="J20" s="8">
        <v>2</v>
      </c>
      <c r="K20" s="8">
        <v>2</v>
      </c>
      <c r="L20" s="8">
        <v>2</v>
      </c>
      <c r="N20" s="8">
        <f t="shared" ref="N20:N33" si="3">SUM(G20:L20)</f>
        <v>23</v>
      </c>
      <c r="O20" s="8">
        <v>1</v>
      </c>
      <c r="P20" s="10" t="s">
        <v>114</v>
      </c>
      <c r="Q20" s="8">
        <v>1</v>
      </c>
      <c r="R20" s="10" t="s">
        <v>138</v>
      </c>
      <c r="S20" s="8">
        <v>1</v>
      </c>
      <c r="T20" s="10" t="s">
        <v>183</v>
      </c>
      <c r="U20" s="8">
        <v>1</v>
      </c>
      <c r="V20" s="10" t="s">
        <v>217</v>
      </c>
      <c r="W20" s="8">
        <v>1</v>
      </c>
      <c r="X20" s="10" t="s">
        <v>251</v>
      </c>
      <c r="Z20" s="9"/>
    </row>
    <row r="21" spans="1:26" s="8" customFormat="1" x14ac:dyDescent="0.2">
      <c r="A21" s="8" t="s">
        <v>20</v>
      </c>
      <c r="B21" s="8">
        <v>8</v>
      </c>
      <c r="C21" s="8" t="s">
        <v>51</v>
      </c>
      <c r="D21" s="8" t="s">
        <v>54</v>
      </c>
      <c r="E21" s="8" t="s">
        <v>73</v>
      </c>
      <c r="F21" s="8" t="str">
        <f t="shared" si="2"/>
        <v>n</v>
      </c>
      <c r="G21" s="8">
        <v>7</v>
      </c>
      <c r="H21" s="8">
        <v>7</v>
      </c>
      <c r="I21" s="8">
        <v>6</v>
      </c>
      <c r="J21" s="8">
        <v>2</v>
      </c>
      <c r="K21" s="8">
        <v>2</v>
      </c>
      <c r="L21" s="8">
        <v>2</v>
      </c>
      <c r="M21" s="8" t="s">
        <v>85</v>
      </c>
      <c r="N21" s="8">
        <v>28</v>
      </c>
      <c r="O21" s="8">
        <v>1</v>
      </c>
      <c r="P21" s="10" t="s">
        <v>115</v>
      </c>
      <c r="Q21" s="8">
        <v>1</v>
      </c>
      <c r="R21" s="10" t="s">
        <v>139</v>
      </c>
      <c r="S21" s="8">
        <v>1</v>
      </c>
      <c r="T21" s="10" t="s">
        <v>184</v>
      </c>
      <c r="U21" s="8">
        <v>1</v>
      </c>
      <c r="V21" s="10" t="s">
        <v>218</v>
      </c>
      <c r="W21" s="8">
        <v>1</v>
      </c>
      <c r="X21" s="10" t="s">
        <v>252</v>
      </c>
      <c r="Z21" s="9"/>
    </row>
    <row r="22" spans="1:26" s="8" customFormat="1" x14ac:dyDescent="0.2">
      <c r="A22" s="8" t="s">
        <v>21</v>
      </c>
      <c r="B22" s="8">
        <v>6</v>
      </c>
      <c r="C22" s="8" t="s">
        <v>41</v>
      </c>
      <c r="E22" s="8" t="s">
        <v>77</v>
      </c>
      <c r="F22" s="8" t="str">
        <f t="shared" si="2"/>
        <v>y</v>
      </c>
      <c r="G22" s="8">
        <v>6</v>
      </c>
      <c r="H22" s="8">
        <v>6</v>
      </c>
      <c r="I22" s="8">
        <v>5</v>
      </c>
      <c r="J22" s="8">
        <v>2</v>
      </c>
      <c r="K22" s="8">
        <v>1</v>
      </c>
      <c r="L22" s="8">
        <v>2</v>
      </c>
      <c r="M22" s="8" t="s">
        <v>86</v>
      </c>
      <c r="N22" s="8">
        <v>24</v>
      </c>
      <c r="O22" s="8">
        <v>1</v>
      </c>
      <c r="P22" s="10" t="s">
        <v>116</v>
      </c>
      <c r="Q22" s="8">
        <v>1</v>
      </c>
      <c r="R22" s="10" t="s">
        <v>140</v>
      </c>
      <c r="S22" s="8">
        <v>1</v>
      </c>
      <c r="T22" s="10" t="s">
        <v>185</v>
      </c>
      <c r="U22" s="8">
        <v>1</v>
      </c>
      <c r="V22" s="10" t="s">
        <v>219</v>
      </c>
      <c r="W22" s="8">
        <v>1</v>
      </c>
      <c r="X22" s="10" t="s">
        <v>253</v>
      </c>
      <c r="Z22" s="9"/>
    </row>
    <row r="23" spans="1:26" s="8" customFormat="1" x14ac:dyDescent="0.2">
      <c r="A23" s="8" t="s">
        <v>22</v>
      </c>
      <c r="B23" s="8">
        <v>8</v>
      </c>
      <c r="C23" s="8" t="s">
        <v>52</v>
      </c>
      <c r="D23" s="8" t="s">
        <v>53</v>
      </c>
      <c r="E23" s="8" t="s">
        <v>73</v>
      </c>
      <c r="F23" s="8" t="str">
        <f t="shared" si="2"/>
        <v>n</v>
      </c>
      <c r="G23" s="8">
        <v>7</v>
      </c>
      <c r="H23" s="8">
        <v>7</v>
      </c>
      <c r="I23" s="8">
        <v>6</v>
      </c>
      <c r="J23" s="8">
        <v>2</v>
      </c>
      <c r="K23" s="8">
        <v>2</v>
      </c>
      <c r="L23" s="8">
        <v>2</v>
      </c>
      <c r="M23" s="8" t="s">
        <v>87</v>
      </c>
      <c r="N23" s="8">
        <v>28</v>
      </c>
      <c r="O23" s="8">
        <v>1</v>
      </c>
      <c r="P23" s="10" t="s">
        <v>117</v>
      </c>
      <c r="Q23" s="8">
        <v>1</v>
      </c>
      <c r="R23" s="10" t="s">
        <v>141</v>
      </c>
      <c r="S23" s="8">
        <v>1</v>
      </c>
      <c r="T23" s="10" t="s">
        <v>186</v>
      </c>
      <c r="U23" s="8">
        <v>1</v>
      </c>
      <c r="V23" s="10" t="s">
        <v>220</v>
      </c>
      <c r="W23" s="8">
        <v>1</v>
      </c>
      <c r="X23" s="10" t="s">
        <v>254</v>
      </c>
      <c r="Z23" s="9"/>
    </row>
    <row r="24" spans="1:26" s="8" customFormat="1" x14ac:dyDescent="0.2">
      <c r="A24" s="8" t="s">
        <v>23</v>
      </c>
      <c r="B24" s="8">
        <v>14</v>
      </c>
      <c r="C24" s="8" t="s">
        <v>56</v>
      </c>
      <c r="E24" s="8" t="s">
        <v>73</v>
      </c>
      <c r="F24" s="8" t="str">
        <f t="shared" si="2"/>
        <v>n</v>
      </c>
      <c r="G24" s="8">
        <v>7</v>
      </c>
      <c r="H24" s="8">
        <v>7</v>
      </c>
      <c r="I24" s="8">
        <v>6</v>
      </c>
      <c r="J24" s="8">
        <v>2</v>
      </c>
      <c r="K24" s="8">
        <v>2</v>
      </c>
      <c r="L24" s="8">
        <v>2</v>
      </c>
      <c r="M24" s="8" t="s">
        <v>88</v>
      </c>
      <c r="N24" s="8">
        <v>28</v>
      </c>
      <c r="O24" s="8">
        <v>1</v>
      </c>
      <c r="P24" s="10" t="s">
        <v>118</v>
      </c>
      <c r="Q24" s="8">
        <v>1</v>
      </c>
      <c r="R24" s="10" t="s">
        <v>142</v>
      </c>
      <c r="S24" s="8">
        <v>1</v>
      </c>
      <c r="T24" s="10" t="s">
        <v>187</v>
      </c>
      <c r="U24" s="8">
        <v>1</v>
      </c>
      <c r="V24" s="10" t="s">
        <v>221</v>
      </c>
      <c r="W24" s="8">
        <v>1</v>
      </c>
      <c r="X24" s="10" t="s">
        <v>255</v>
      </c>
      <c r="Z24" s="9"/>
    </row>
    <row r="25" spans="1:26" s="8" customFormat="1" x14ac:dyDescent="0.2">
      <c r="A25" s="8" t="s">
        <v>24</v>
      </c>
      <c r="B25" s="8">
        <v>8</v>
      </c>
      <c r="C25" s="8" t="s">
        <v>57</v>
      </c>
      <c r="D25" s="8" t="s">
        <v>58</v>
      </c>
      <c r="E25" s="8" t="s">
        <v>73</v>
      </c>
      <c r="F25" s="8" t="str">
        <f t="shared" si="2"/>
        <v>n</v>
      </c>
      <c r="G25" s="8">
        <v>7</v>
      </c>
      <c r="H25" s="8">
        <v>7</v>
      </c>
      <c r="I25" s="8">
        <v>6</v>
      </c>
      <c r="J25" s="8">
        <v>2</v>
      </c>
      <c r="K25" s="8">
        <v>2</v>
      </c>
      <c r="L25" s="8">
        <v>2</v>
      </c>
      <c r="M25" s="8" t="s">
        <v>89</v>
      </c>
      <c r="N25" s="8">
        <v>28</v>
      </c>
      <c r="O25" s="8">
        <v>1</v>
      </c>
      <c r="P25" s="10" t="s">
        <v>171</v>
      </c>
      <c r="Q25" s="8">
        <v>1</v>
      </c>
      <c r="R25" s="10" t="s">
        <v>143</v>
      </c>
      <c r="S25" s="8">
        <v>1</v>
      </c>
      <c r="T25" s="10" t="s">
        <v>188</v>
      </c>
      <c r="U25" s="8">
        <v>1</v>
      </c>
      <c r="V25" s="10" t="s">
        <v>222</v>
      </c>
      <c r="W25" s="8">
        <v>1</v>
      </c>
      <c r="X25" s="10" t="s">
        <v>256</v>
      </c>
      <c r="Z25" s="9"/>
    </row>
    <row r="26" spans="1:26" s="8" customFormat="1" x14ac:dyDescent="0.2">
      <c r="A26" s="8" t="s">
        <v>25</v>
      </c>
      <c r="B26" s="8">
        <v>8</v>
      </c>
      <c r="C26" s="8" t="s">
        <v>59</v>
      </c>
      <c r="E26" s="8" t="s">
        <v>77</v>
      </c>
      <c r="F26" s="8" t="str">
        <f t="shared" si="2"/>
        <v>n</v>
      </c>
      <c r="G26" s="8">
        <v>6</v>
      </c>
      <c r="H26" s="8">
        <v>6</v>
      </c>
      <c r="I26" s="8">
        <v>5</v>
      </c>
      <c r="J26" s="8">
        <v>2</v>
      </c>
      <c r="K26" s="8">
        <v>1</v>
      </c>
      <c r="L26" s="8">
        <v>2</v>
      </c>
      <c r="M26" s="8" t="s">
        <v>90</v>
      </c>
      <c r="N26" s="8">
        <v>23</v>
      </c>
      <c r="O26" s="8">
        <v>1</v>
      </c>
      <c r="P26" s="10" t="s">
        <v>119</v>
      </c>
      <c r="Q26" s="8">
        <v>1</v>
      </c>
      <c r="R26" s="10" t="s">
        <v>144</v>
      </c>
      <c r="S26" s="8">
        <v>1</v>
      </c>
      <c r="T26" s="10" t="s">
        <v>189</v>
      </c>
      <c r="U26" s="8">
        <v>1</v>
      </c>
      <c r="V26" s="10" t="s">
        <v>223</v>
      </c>
      <c r="W26" s="8">
        <v>1</v>
      </c>
      <c r="X26" s="10" t="s">
        <v>257</v>
      </c>
      <c r="Z26" s="9"/>
    </row>
    <row r="27" spans="1:26" s="8" customFormat="1" x14ac:dyDescent="0.2">
      <c r="A27" s="8" t="s">
        <v>26</v>
      </c>
      <c r="B27" s="8">
        <v>8</v>
      </c>
      <c r="C27" s="8" t="s">
        <v>59</v>
      </c>
      <c r="E27" s="8" t="s">
        <v>77</v>
      </c>
      <c r="F27" s="8" t="str">
        <f t="shared" si="2"/>
        <v>n</v>
      </c>
      <c r="G27" s="8">
        <v>6</v>
      </c>
      <c r="H27" s="8">
        <v>7</v>
      </c>
      <c r="I27" s="8">
        <v>5</v>
      </c>
      <c r="J27" s="8">
        <v>2</v>
      </c>
      <c r="K27" s="8">
        <v>1</v>
      </c>
      <c r="L27" s="8">
        <v>2</v>
      </c>
      <c r="M27" s="8" t="s">
        <v>91</v>
      </c>
      <c r="N27" s="8">
        <v>25</v>
      </c>
      <c r="O27" s="8">
        <v>1</v>
      </c>
      <c r="P27" s="10" t="s">
        <v>172</v>
      </c>
      <c r="Q27" s="8">
        <v>1</v>
      </c>
      <c r="R27" s="10" t="s">
        <v>145</v>
      </c>
      <c r="S27" s="8">
        <v>1</v>
      </c>
      <c r="T27" s="10" t="s">
        <v>190</v>
      </c>
      <c r="U27" s="8">
        <v>1</v>
      </c>
      <c r="V27" s="10" t="s">
        <v>224</v>
      </c>
      <c r="W27" s="8">
        <v>1</v>
      </c>
      <c r="X27" s="10" t="s">
        <v>258</v>
      </c>
      <c r="Z27" s="9"/>
    </row>
    <row r="28" spans="1:26" s="8" customFormat="1" x14ac:dyDescent="0.2">
      <c r="A28" s="8" t="s">
        <v>27</v>
      </c>
      <c r="B28" s="8">
        <v>1</v>
      </c>
      <c r="C28" s="8">
        <v>16</v>
      </c>
      <c r="F28" s="8" t="str">
        <f t="shared" si="2"/>
        <v>y</v>
      </c>
      <c r="G28" s="8">
        <v>2</v>
      </c>
      <c r="H28" s="8">
        <v>1</v>
      </c>
      <c r="I28" s="8">
        <v>1</v>
      </c>
      <c r="N28" s="8">
        <f t="shared" si="3"/>
        <v>4</v>
      </c>
      <c r="O28" s="8">
        <v>1</v>
      </c>
      <c r="P28" s="10" t="s">
        <v>173</v>
      </c>
      <c r="Q28" s="8">
        <v>1</v>
      </c>
      <c r="R28" s="10" t="s">
        <v>146</v>
      </c>
      <c r="S28" s="8">
        <v>1</v>
      </c>
      <c r="T28" s="10" t="s">
        <v>191</v>
      </c>
      <c r="U28" s="8">
        <v>1</v>
      </c>
      <c r="V28" s="10" t="s">
        <v>225</v>
      </c>
      <c r="W28" s="8">
        <v>1</v>
      </c>
      <c r="X28" s="10" t="s">
        <v>259</v>
      </c>
      <c r="Z28" s="9"/>
    </row>
    <row r="29" spans="1:26" s="8" customFormat="1" x14ac:dyDescent="0.2">
      <c r="A29" s="8" t="s">
        <v>28</v>
      </c>
      <c r="B29" s="8">
        <v>1</v>
      </c>
      <c r="C29" s="8">
        <v>16</v>
      </c>
      <c r="F29" s="8" t="str">
        <f t="shared" si="2"/>
        <v>y</v>
      </c>
      <c r="G29" s="8">
        <v>2</v>
      </c>
      <c r="H29" s="8">
        <v>1</v>
      </c>
      <c r="I29" s="8">
        <v>1</v>
      </c>
      <c r="N29" s="8">
        <f t="shared" si="3"/>
        <v>4</v>
      </c>
      <c r="O29" s="8">
        <v>1</v>
      </c>
      <c r="P29" s="10" t="s">
        <v>174</v>
      </c>
      <c r="Q29" s="8">
        <v>1</v>
      </c>
      <c r="R29" s="10" t="s">
        <v>147</v>
      </c>
      <c r="S29" s="8">
        <v>1</v>
      </c>
      <c r="T29" s="10" t="s">
        <v>192</v>
      </c>
      <c r="U29" s="8">
        <v>1</v>
      </c>
      <c r="V29" s="10" t="s">
        <v>226</v>
      </c>
      <c r="W29" s="8">
        <v>1</v>
      </c>
      <c r="X29" s="10" t="s">
        <v>260</v>
      </c>
      <c r="Z29" s="9"/>
    </row>
    <row r="30" spans="1:26" s="8" customFormat="1" x14ac:dyDescent="0.2">
      <c r="A30" s="8" t="s">
        <v>29</v>
      </c>
      <c r="B30" s="8">
        <v>1</v>
      </c>
      <c r="C30" s="8">
        <v>16</v>
      </c>
      <c r="F30" s="8" t="str">
        <f t="shared" si="2"/>
        <v>y</v>
      </c>
      <c r="G30" s="8">
        <v>2</v>
      </c>
      <c r="H30" s="8">
        <v>1</v>
      </c>
      <c r="I30" s="8">
        <v>1</v>
      </c>
      <c r="N30" s="8">
        <f t="shared" si="3"/>
        <v>4</v>
      </c>
      <c r="O30" s="8">
        <v>1</v>
      </c>
      <c r="P30" s="10" t="s">
        <v>175</v>
      </c>
      <c r="Q30" s="8">
        <v>1</v>
      </c>
      <c r="R30" s="10" t="s">
        <v>148</v>
      </c>
      <c r="S30" s="8">
        <v>1</v>
      </c>
      <c r="T30" s="10" t="s">
        <v>193</v>
      </c>
      <c r="U30" s="8">
        <v>1</v>
      </c>
      <c r="V30" s="10" t="s">
        <v>227</v>
      </c>
      <c r="W30" s="8">
        <v>1</v>
      </c>
      <c r="X30" s="10" t="s">
        <v>261</v>
      </c>
      <c r="Z30" s="9"/>
    </row>
    <row r="31" spans="1:26" s="8" customFormat="1" x14ac:dyDescent="0.2">
      <c r="A31" s="8" t="s">
        <v>30</v>
      </c>
      <c r="B31" s="8">
        <v>3</v>
      </c>
      <c r="C31" s="8" t="s">
        <v>60</v>
      </c>
      <c r="E31" s="8" t="s">
        <v>92</v>
      </c>
      <c r="F31" s="8" t="str">
        <f t="shared" ref="F31:F35" si="4">IF(H31&lt;B31, "n", "y")</f>
        <v>y</v>
      </c>
      <c r="G31" s="8">
        <v>3</v>
      </c>
      <c r="H31" s="8">
        <v>3</v>
      </c>
      <c r="I31" s="8">
        <v>3</v>
      </c>
      <c r="J31" s="8">
        <v>2</v>
      </c>
      <c r="K31" s="8">
        <v>2</v>
      </c>
      <c r="L31" s="8">
        <v>2</v>
      </c>
      <c r="N31" s="8">
        <f>SUM(G31:L31)</f>
        <v>15</v>
      </c>
      <c r="O31" s="8">
        <v>1</v>
      </c>
      <c r="P31" s="10" t="s">
        <v>176</v>
      </c>
      <c r="Q31" s="8">
        <v>1</v>
      </c>
      <c r="R31" s="10" t="s">
        <v>149</v>
      </c>
      <c r="S31" s="8">
        <v>1</v>
      </c>
      <c r="T31" s="10" t="s">
        <v>194</v>
      </c>
      <c r="U31" s="8">
        <v>1</v>
      </c>
      <c r="V31" s="10" t="s">
        <v>228</v>
      </c>
      <c r="W31" s="8">
        <v>1</v>
      </c>
      <c r="X31" s="10" t="s">
        <v>262</v>
      </c>
      <c r="Z31" s="9"/>
    </row>
    <row r="32" spans="1:26" s="8" customFormat="1" x14ac:dyDescent="0.2">
      <c r="A32" s="8" t="s">
        <v>31</v>
      </c>
      <c r="B32" s="8">
        <v>3</v>
      </c>
      <c r="C32" s="8" t="s">
        <v>60</v>
      </c>
      <c r="E32" s="8" t="s">
        <v>92</v>
      </c>
      <c r="F32" s="8" t="str">
        <f t="shared" si="4"/>
        <v>n</v>
      </c>
      <c r="G32" s="8">
        <v>3</v>
      </c>
      <c r="H32" s="8">
        <v>1</v>
      </c>
      <c r="I32" s="8">
        <v>1</v>
      </c>
      <c r="J32" s="8">
        <v>2</v>
      </c>
      <c r="K32" s="8">
        <v>1</v>
      </c>
      <c r="L32" s="8">
        <v>2</v>
      </c>
      <c r="N32" s="8">
        <f t="shared" si="3"/>
        <v>10</v>
      </c>
      <c r="O32" s="8">
        <v>1</v>
      </c>
      <c r="P32" s="10" t="s">
        <v>177</v>
      </c>
      <c r="Q32" s="8">
        <v>1</v>
      </c>
      <c r="R32" s="10" t="s">
        <v>150</v>
      </c>
      <c r="S32" s="8">
        <v>1</v>
      </c>
      <c r="T32" s="10" t="s">
        <v>195</v>
      </c>
      <c r="U32" s="8">
        <v>1</v>
      </c>
      <c r="V32" s="10" t="s">
        <v>229</v>
      </c>
      <c r="W32" s="8">
        <v>1</v>
      </c>
      <c r="X32" s="10" t="s">
        <v>263</v>
      </c>
      <c r="Z32" s="9"/>
    </row>
    <row r="33" spans="1:26" s="8" customFormat="1" x14ac:dyDescent="0.2">
      <c r="A33" s="8" t="s">
        <v>275</v>
      </c>
      <c r="B33" s="8">
        <v>6</v>
      </c>
      <c r="C33" s="8" t="s">
        <v>41</v>
      </c>
      <c r="E33" s="8" t="s">
        <v>77</v>
      </c>
      <c r="F33" s="8" t="str">
        <f t="shared" si="4"/>
        <v>n</v>
      </c>
      <c r="G33" s="8">
        <v>1</v>
      </c>
      <c r="H33" s="8">
        <v>3</v>
      </c>
      <c r="I33" s="8">
        <v>2</v>
      </c>
      <c r="J33" s="8">
        <v>2</v>
      </c>
      <c r="K33" s="8">
        <v>2</v>
      </c>
      <c r="L33" s="8">
        <v>2</v>
      </c>
      <c r="N33" s="8">
        <f t="shared" si="3"/>
        <v>12</v>
      </c>
      <c r="O33" s="8">
        <v>1</v>
      </c>
      <c r="P33" s="10" t="s">
        <v>178</v>
      </c>
      <c r="Q33" s="8">
        <v>1</v>
      </c>
      <c r="R33" s="10" t="s">
        <v>151</v>
      </c>
      <c r="S33" s="8">
        <v>1</v>
      </c>
      <c r="T33" s="10" t="s">
        <v>196</v>
      </c>
      <c r="U33" s="8">
        <v>1</v>
      </c>
      <c r="V33" s="10" t="s">
        <v>230</v>
      </c>
      <c r="W33" s="8">
        <v>1</v>
      </c>
      <c r="X33" s="10" t="s">
        <v>264</v>
      </c>
      <c r="Z33" s="9"/>
    </row>
    <row r="34" spans="1:26" s="8" customFormat="1" x14ac:dyDescent="0.2">
      <c r="A34" s="8" t="s">
        <v>32</v>
      </c>
      <c r="B34" s="8">
        <v>7</v>
      </c>
      <c r="C34" s="8" t="s">
        <v>61</v>
      </c>
      <c r="E34" s="8" t="s">
        <v>75</v>
      </c>
      <c r="F34" s="8" t="str">
        <f t="shared" si="4"/>
        <v>n</v>
      </c>
      <c r="G34" s="8">
        <v>6</v>
      </c>
      <c r="H34" s="8">
        <v>6</v>
      </c>
      <c r="I34" s="8">
        <v>5</v>
      </c>
      <c r="J34" s="8">
        <v>2</v>
      </c>
      <c r="K34" s="8">
        <v>1</v>
      </c>
      <c r="L34" s="8">
        <v>2</v>
      </c>
      <c r="M34" s="8" t="s">
        <v>93</v>
      </c>
      <c r="N34" s="8">
        <v>24</v>
      </c>
      <c r="O34" s="8">
        <v>1</v>
      </c>
      <c r="P34" s="10" t="s">
        <v>120</v>
      </c>
      <c r="Q34" s="8">
        <v>1</v>
      </c>
      <c r="R34" s="10" t="s">
        <v>152</v>
      </c>
      <c r="S34" s="8">
        <v>1</v>
      </c>
      <c r="T34" s="10" t="s">
        <v>197</v>
      </c>
      <c r="U34" s="8">
        <v>1</v>
      </c>
      <c r="V34" s="10" t="s">
        <v>231</v>
      </c>
      <c r="W34" s="8">
        <v>1</v>
      </c>
      <c r="X34" s="10" t="s">
        <v>265</v>
      </c>
      <c r="Z34" s="9"/>
    </row>
    <row r="35" spans="1:26" s="8" customFormat="1" x14ac:dyDescent="0.2">
      <c r="A35" s="8" t="s">
        <v>33</v>
      </c>
      <c r="B35" s="8">
        <v>7</v>
      </c>
      <c r="C35" s="8" t="s">
        <v>62</v>
      </c>
      <c r="E35" s="8" t="s">
        <v>75</v>
      </c>
      <c r="F35" s="8" t="str">
        <f t="shared" si="4"/>
        <v>n</v>
      </c>
      <c r="G35" s="8">
        <v>6</v>
      </c>
      <c r="H35" s="8">
        <v>6</v>
      </c>
      <c r="I35" s="8">
        <v>5</v>
      </c>
      <c r="J35" s="8">
        <v>2</v>
      </c>
      <c r="K35" s="8">
        <v>1</v>
      </c>
      <c r="L35" s="8">
        <v>2</v>
      </c>
      <c r="M35" s="8" t="s">
        <v>94</v>
      </c>
      <c r="N35" s="8">
        <v>24</v>
      </c>
      <c r="O35" s="8">
        <v>1</v>
      </c>
      <c r="P35" s="10" t="s">
        <v>121</v>
      </c>
      <c r="Q35" s="8">
        <v>1</v>
      </c>
      <c r="R35" s="10" t="s">
        <v>153</v>
      </c>
      <c r="S35" s="8">
        <v>1</v>
      </c>
      <c r="T35" s="10" t="s">
        <v>198</v>
      </c>
      <c r="U35" s="8">
        <v>1</v>
      </c>
      <c r="V35" s="10" t="s">
        <v>232</v>
      </c>
      <c r="W35" s="8">
        <v>1</v>
      </c>
      <c r="X35" s="10" t="s">
        <v>266</v>
      </c>
      <c r="Z35" s="9"/>
    </row>
    <row r="36" spans="1:26" x14ac:dyDescent="0.2">
      <c r="P36" s="3"/>
      <c r="R36" s="3"/>
      <c r="T36" s="3"/>
      <c r="V36" s="3"/>
      <c r="X36" s="3"/>
    </row>
    <row r="37" spans="1:26" x14ac:dyDescent="0.2">
      <c r="N37" s="4">
        <f>SUM(N2:N35)</f>
        <v>707</v>
      </c>
      <c r="O37" s="4">
        <f>SUM(O2:O35)</f>
        <v>114</v>
      </c>
      <c r="Q37" s="4">
        <f>SUM(Q2:Q35)</f>
        <v>34</v>
      </c>
      <c r="S37" s="4">
        <v>34</v>
      </c>
      <c r="U37" s="4">
        <v>34</v>
      </c>
      <c r="W37" s="4">
        <f>SUM(W2:W35)</f>
        <v>34</v>
      </c>
      <c r="Y37" s="4">
        <v>5</v>
      </c>
    </row>
    <row r="39" spans="1:26" ht="29" x14ac:dyDescent="0.35">
      <c r="N39" s="6" t="s">
        <v>272</v>
      </c>
      <c r="O39" s="5">
        <f>SUM(N37:Y37)</f>
        <v>962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Mehnaaz Asad</dc:creator>
  <cp:lastModifiedBy>Mehnaaz Asad</cp:lastModifiedBy>
  <dcterms:created xsi:type="dcterms:W3CDTF">2020-01-27T01:11:23Z</dcterms:created>
  <dcterms:modified xsi:type="dcterms:W3CDTF">2020-01-28T20:43:33Z</dcterms:modified>
</cp:coreProperties>
</file>