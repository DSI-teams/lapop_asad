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17"/>
  <workbookPr/>
  <mc:AlternateContent xmlns:mc="http://schemas.openxmlformats.org/markup-compatibility/2006">
    <mc:Choice Requires="x15">
      <x15ac:absPath xmlns:x15ac="http://schemas.microsoft.com/office/spreadsheetml/2010/11/ac" url="/Users/asadm2/Documents/Grad_School/Spring_2020/lapop_asad/Dashboard/"/>
    </mc:Choice>
  </mc:AlternateContent>
  <bookViews>
    <workbookView xWindow="0" yWindow="0" windowWidth="25600" windowHeight="160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0" i="1" l="1"/>
  <c r="F29" i="1"/>
  <c r="F28" i="1"/>
  <c r="F17" i="1"/>
  <c r="F27" i="1"/>
  <c r="F26" i="1"/>
  <c r="F25" i="1"/>
  <c r="F24" i="1"/>
  <c r="F23" i="1"/>
  <c r="F22" i="1"/>
  <c r="F21" i="1"/>
  <c r="F20" i="1"/>
  <c r="F19" i="1"/>
  <c r="F18" i="1"/>
  <c r="F16" i="1"/>
  <c r="F15" i="1"/>
  <c r="F10" i="1"/>
  <c r="F11" i="1"/>
  <c r="F12" i="1"/>
  <c r="F13" i="1"/>
  <c r="F14" i="1"/>
  <c r="F9" i="1"/>
  <c r="F8" i="1"/>
  <c r="F7" i="1"/>
</calcChain>
</file>

<file path=xl/sharedStrings.xml><?xml version="1.0" encoding="utf-8"?>
<sst xmlns="http://schemas.openxmlformats.org/spreadsheetml/2006/main" count="135" uniqueCount="104">
  <si>
    <t>Country</t>
  </si>
  <si>
    <t>Argentina</t>
  </si>
  <si>
    <t>Antigua and Barbuda</t>
  </si>
  <si>
    <t>Bahamas</t>
  </si>
  <si>
    <t>Barbados</t>
  </si>
  <si>
    <t>Belize</t>
  </si>
  <si>
    <t>Bolivia</t>
  </si>
  <si>
    <t>Brazil</t>
  </si>
  <si>
    <t>Canada</t>
  </si>
  <si>
    <t xml:space="preserve">Chile </t>
  </si>
  <si>
    <t>Colombia</t>
  </si>
  <si>
    <t>Costa Rica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</si>
  <si>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</si>
  <si>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</si>
  <si>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</si>
  <si>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</si>
  <si>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</si>
  <si>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</si>
  <si>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</si>
  <si>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</si>
  <si>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</si>
  <si>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</si>
  <si>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</si>
  <si>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</si>
  <si>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</si>
  <si>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Paraguay</t>
  </si>
  <si>
    <t>Peru</t>
  </si>
  <si>
    <t>Saint Kitts and Nevis</t>
  </si>
  <si>
    <t>Saint Lucia</t>
  </si>
  <si>
    <t>Saint Vincent and the Grenadines</t>
  </si>
  <si>
    <t>Suriname</t>
  </si>
  <si>
    <t>Trinidad and Tobago</t>
  </si>
  <si>
    <t>USA</t>
  </si>
  <si>
    <t>Uruguay</t>
  </si>
  <si>
    <t>Venezuela</t>
  </si>
  <si>
    <t>Comments</t>
  </si>
  <si>
    <t>* 2003 special datasets online not included in count</t>
  </si>
  <si>
    <t>Years on box (y/n)</t>
  </si>
  <si>
    <t>Years (20xx)</t>
  </si>
  <si>
    <t>08 10 12 14 16</t>
  </si>
  <si>
    <t>08 10 12 14</t>
  </si>
  <si>
    <t>00 02 04 06 08 10 12 14 16</t>
  </si>
  <si>
    <t>06 08 10 12 14 16</t>
  </si>
  <si>
    <t xml:space="preserve">01 04 05 06 07 08 09 10 12 13 14 16 </t>
  </si>
  <si>
    <t>1976  1978 1980 1983 1985 1987 1990 1995 1999 02 04 06 08 10 12 14 16</t>
  </si>
  <si>
    <t>04 06 08 10 12 14 16</t>
  </si>
  <si>
    <t>1986 01 02 04 06 08 10 12 14 16</t>
  </si>
  <si>
    <t xml:space="preserve">* Additional 2004 special </t>
  </si>
  <si>
    <t>1991  1995 1999 04 06 08 10 12 14 16</t>
  </si>
  <si>
    <t>* 2 Additional 1991, 1993, additional 1999</t>
  </si>
  <si>
    <t xml:space="preserve">1992 1993 1995 1997 1999 01 04 06 08 10 12 14 16 </t>
  </si>
  <si>
    <t xml:space="preserve">* 2 1998 and 1 additional 2006 special </t>
  </si>
  <si>
    <t>Number of datasets online</t>
  </si>
  <si>
    <t>01 04 06 08 10 12 14 16</t>
  </si>
  <si>
    <t>1978 04 06 08 10 12 14 16</t>
  </si>
  <si>
    <t>* 1979 special</t>
  </si>
  <si>
    <t xml:space="preserve">* 1983, 1985 and 2 1991 special </t>
  </si>
  <si>
    <t xml:space="preserve">* 1973, additional 1976, additional 1987 special </t>
  </si>
  <si>
    <t>1989 1991 1995 1996 1997 1998 1999 04 06 08 10 12 14 16</t>
  </si>
  <si>
    <t>1991 04 06 08 10 12 14 16</t>
  </si>
  <si>
    <t xml:space="preserve">* 1991 additional </t>
  </si>
  <si>
    <t>1996 1998 06 08 10 12 14 16</t>
  </si>
  <si>
    <t>10 12 14</t>
  </si>
  <si>
    <t>06 07 08 10 12 14 16</t>
  </si>
  <si>
    <t>1995 06 08 10 12 14 16</t>
  </si>
  <si>
    <t>Merged time-frame on box</t>
  </si>
  <si>
    <t>y</t>
  </si>
  <si>
    <t>.DTA</t>
  </si>
  <si>
    <t>.SAV</t>
  </si>
  <si>
    <t xml:space="preserve"> 2 - different weighting</t>
  </si>
  <si>
    <t>2008-2014</t>
  </si>
  <si>
    <t>y (16 as 17?)</t>
  </si>
  <si>
    <t>n</t>
  </si>
  <si>
    <t>Change logs</t>
  </si>
  <si>
    <t>tech report</t>
  </si>
  <si>
    <t>Files on box: TECH INFO</t>
  </si>
  <si>
    <t>Questionaires/cuestionario</t>
  </si>
  <si>
    <t>2004-2014</t>
  </si>
  <si>
    <t>"final campo_V2.pdf"</t>
  </si>
  <si>
    <t>2007-2014</t>
  </si>
  <si>
    <t>"…Portuguese…pdf"</t>
  </si>
  <si>
    <t>2006-2014</t>
  </si>
  <si>
    <t>2 phone scripts, 1 codebook, 1 final questionaire, 1 tech report</t>
  </si>
  <si>
    <t>3 PDFs of questions</t>
  </si>
  <si>
    <t>2 PDFs</t>
  </si>
  <si>
    <t>1 PDF (Espanol version)</t>
  </si>
  <si>
    <t>zip (.dat + .sav)</t>
  </si>
  <si>
    <t>2 + 2 "…Rev1-w.zip"</t>
  </si>
  <si>
    <t>1PDF "2006_v23ER.pdf"</t>
  </si>
  <si>
    <t>1 PDF (2006_v23)</t>
  </si>
  <si>
    <t>2 PDFs (2008 18Q_jan2308_V2 revised.pdf &amp; 2006_v23CR.pdf)</t>
  </si>
  <si>
    <t>2 PDFs (2006_v23iR.pdf &amp; Spanish V18Q_V2 revised.pdf)</t>
  </si>
  <si>
    <t>2 PDFs (Spanish v18Q_V2 revised.pdf &amp; 2006_v23b.pdf)</t>
  </si>
  <si>
    <t>2 PDFs (2006_v23_BR.pdf &amp; Spanish V18Qr_V2 revised.pdf)</t>
  </si>
  <si>
    <t>2 PDFs (2006_v23bR1.pdf &amp; Spanish v18Q_V2 revised.pdf)</t>
  </si>
  <si>
    <t>2 PDFs (Spanish V18Q_V2 revised.pdf &amp; 2006_v23bR1.pdf)</t>
  </si>
  <si>
    <t>1 PDF (Spanish V18Q_V2 revised.pdf)</t>
  </si>
  <si>
    <t>2 PDFs (Spanish v18p_V2 revised.pdf &amp; 2006_v23G-1R.pdf)</t>
  </si>
  <si>
    <t>2010-2014</t>
  </si>
  <si>
    <t>2 PDFs (Spanish_v18Q9_V2 revised.pdf &amp; Uruguay2007_v9 _3_.pdf)</t>
  </si>
  <si>
    <t>2 PDFs (Spanish_V15R_V2 revised.pdf &amp; Venezuela_v12.pdf)</t>
  </si>
  <si>
    <t>1 PDF (Spanish_v18Q_V2 revised.pdf)</t>
  </si>
  <si>
    <t>1 (.sav)</t>
  </si>
  <si>
    <t>Misc (some of these PDFs could be questionaires)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</si>
</sst>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topLeftCell="C1" workbookViewId="0">
      <selection activeCell="J30" sqref="J30"/>
    </sheetView>
  </sheetViews>
  <sheetFormatPr baseColWidth="10" defaultRowHeight="16" x14ac:dyDescent="0.2"/>
  <cols>
    <col min="1" max="1" width="28.1640625" bestFit="1" customWidth="1"/>
    <col min="2" max="2" width="22.6640625" bestFit="1" customWidth="1"/>
    <col min="3" max="3" width="61.5" style="1" bestFit="1" customWidth="1"/>
    <col min="4" max="4" width="43.1640625" bestFit="1" customWidth="1"/>
    <col min="5" max="5" width="23.1640625" bestFit="1" customWidth="1"/>
    <col min="6" max="6" width="15.83203125" bestFit="1" customWidth="1"/>
    <col min="7" max="7" width="20.6640625" bestFit="1" customWidth="1"/>
    <col min="10" max="10" width="17.33203125" bestFit="1" customWidth="1"/>
    <col min="11" max="11" width="23.1640625" bestFit="1" customWidth="1"/>
    <col min="13" max="13" width="56.1640625" bestFit="1" customWidth="1"/>
  </cols>
  <sheetData>
    <row r="1" spans="1:13" x14ac:dyDescent="0.2">
      <c r="A1" t="s">
        <v>0</v>
      </c>
      <c r="B1" t="s">
        <v>52</v>
      </c>
      <c r="C1" s="1" t="s">
        <v>38</v>
      </c>
      <c r="D1" t="s">
        <v>35</v>
      </c>
      <c r="E1" t="s">
        <v>65</v>
      </c>
      <c r="F1" t="s">
        <v>37</v>
      </c>
      <c r="G1" t="s">
        <v>75</v>
      </c>
      <c r="H1" t="s">
        <v>67</v>
      </c>
      <c r="I1" t="s">
        <v>68</v>
      </c>
      <c r="J1" t="s">
        <v>86</v>
      </c>
      <c r="K1" t="s">
        <v>76</v>
      </c>
      <c r="L1" t="s">
        <v>73</v>
      </c>
      <c r="M1" t="s">
        <v>103</v>
      </c>
    </row>
    <row r="2" spans="1:13" x14ac:dyDescent="0.2">
      <c r="A2" t="s">
        <v>2</v>
      </c>
      <c r="B2">
        <v>1</v>
      </c>
      <c r="C2" s="1">
        <v>16</v>
      </c>
      <c r="F2" t="s">
        <v>66</v>
      </c>
      <c r="G2" t="s">
        <v>69</v>
      </c>
      <c r="H2">
        <v>1</v>
      </c>
      <c r="I2">
        <v>1</v>
      </c>
    </row>
    <row r="3" spans="1:13" x14ac:dyDescent="0.2">
      <c r="A3" t="s">
        <v>1</v>
      </c>
      <c r="B3">
        <v>5</v>
      </c>
      <c r="C3" s="1" t="s">
        <v>39</v>
      </c>
      <c r="E3" t="s">
        <v>70</v>
      </c>
      <c r="F3" t="s">
        <v>71</v>
      </c>
      <c r="G3">
        <v>5</v>
      </c>
      <c r="H3">
        <v>5</v>
      </c>
      <c r="I3">
        <v>4</v>
      </c>
      <c r="J3">
        <v>2</v>
      </c>
      <c r="K3">
        <v>1</v>
      </c>
      <c r="L3">
        <v>2</v>
      </c>
    </row>
    <row r="4" spans="1:13" x14ac:dyDescent="0.2">
      <c r="A4" t="s">
        <v>3</v>
      </c>
      <c r="B4">
        <v>1</v>
      </c>
      <c r="C4" s="1">
        <v>14</v>
      </c>
      <c r="F4" t="s">
        <v>66</v>
      </c>
      <c r="G4">
        <v>1</v>
      </c>
      <c r="H4">
        <v>1</v>
      </c>
      <c r="I4">
        <v>1</v>
      </c>
      <c r="L4">
        <v>2</v>
      </c>
    </row>
    <row r="5" spans="1:13" x14ac:dyDescent="0.2">
      <c r="A5" t="s">
        <v>4</v>
      </c>
      <c r="B5">
        <v>1</v>
      </c>
      <c r="C5" s="1">
        <v>14</v>
      </c>
      <c r="G5">
        <v>1</v>
      </c>
      <c r="H5">
        <v>1</v>
      </c>
      <c r="J5" t="s">
        <v>102</v>
      </c>
    </row>
    <row r="6" spans="1:13" x14ac:dyDescent="0.2">
      <c r="A6" t="s">
        <v>5</v>
      </c>
      <c r="B6">
        <v>4</v>
      </c>
      <c r="C6" s="1" t="s">
        <v>40</v>
      </c>
      <c r="E6" t="s">
        <v>70</v>
      </c>
      <c r="F6" t="s">
        <v>72</v>
      </c>
      <c r="G6">
        <v>3</v>
      </c>
      <c r="H6">
        <v>3</v>
      </c>
      <c r="I6">
        <v>3</v>
      </c>
      <c r="J6">
        <v>2</v>
      </c>
      <c r="K6">
        <v>2</v>
      </c>
      <c r="L6">
        <v>2</v>
      </c>
      <c r="M6" t="s">
        <v>74</v>
      </c>
    </row>
    <row r="7" spans="1:13" x14ac:dyDescent="0.2">
      <c r="A7" t="s">
        <v>6</v>
      </c>
      <c r="B7">
        <v>10</v>
      </c>
      <c r="C7" s="1" t="s">
        <v>41</v>
      </c>
      <c r="D7" t="s">
        <v>36</v>
      </c>
      <c r="E7" t="s">
        <v>77</v>
      </c>
      <c r="F7" t="str">
        <f>IF(H7&lt;B7, "n", "y")</f>
        <v>n</v>
      </c>
      <c r="G7">
        <v>7</v>
      </c>
      <c r="H7">
        <v>7</v>
      </c>
      <c r="I7">
        <v>6</v>
      </c>
      <c r="J7">
        <v>2</v>
      </c>
      <c r="K7">
        <v>12</v>
      </c>
      <c r="L7">
        <v>2</v>
      </c>
      <c r="M7" t="s">
        <v>78</v>
      </c>
    </row>
    <row r="8" spans="1:13" x14ac:dyDescent="0.2">
      <c r="A8" t="s">
        <v>7</v>
      </c>
      <c r="B8">
        <v>6</v>
      </c>
      <c r="C8" s="1" t="s">
        <v>42</v>
      </c>
      <c r="E8" t="s">
        <v>79</v>
      </c>
      <c r="F8" t="str">
        <f>IF(H8&lt;B8, "n", "y")</f>
        <v>y</v>
      </c>
      <c r="G8">
        <v>5</v>
      </c>
      <c r="H8">
        <v>6</v>
      </c>
      <c r="I8">
        <v>5</v>
      </c>
      <c r="J8">
        <v>2</v>
      </c>
      <c r="L8">
        <v>2</v>
      </c>
      <c r="M8" t="s">
        <v>80</v>
      </c>
    </row>
    <row r="9" spans="1:13" x14ac:dyDescent="0.2">
      <c r="A9" t="s">
        <v>8</v>
      </c>
      <c r="B9">
        <v>6</v>
      </c>
      <c r="C9" s="1" t="s">
        <v>42</v>
      </c>
      <c r="E9" t="s">
        <v>81</v>
      </c>
      <c r="F9" t="str">
        <f>IF(H9&lt;B9, "n", "y")</f>
        <v>y</v>
      </c>
      <c r="G9">
        <v>2</v>
      </c>
      <c r="H9">
        <v>6</v>
      </c>
      <c r="I9">
        <v>5</v>
      </c>
      <c r="J9">
        <v>2</v>
      </c>
      <c r="K9">
        <v>2</v>
      </c>
      <c r="L9">
        <v>2</v>
      </c>
      <c r="M9" t="s">
        <v>82</v>
      </c>
    </row>
    <row r="10" spans="1:13" x14ac:dyDescent="0.2">
      <c r="A10" t="s">
        <v>9</v>
      </c>
      <c r="B10">
        <v>6</v>
      </c>
      <c r="C10" s="1" t="s">
        <v>42</v>
      </c>
      <c r="E10" t="s">
        <v>81</v>
      </c>
      <c r="F10" t="str">
        <f t="shared" ref="F10:F17" si="0">IF(H10&lt;B10, "n", "y")</f>
        <v>y</v>
      </c>
      <c r="G10">
        <v>6</v>
      </c>
      <c r="H10">
        <v>6</v>
      </c>
      <c r="I10">
        <v>5</v>
      </c>
      <c r="J10">
        <v>2</v>
      </c>
      <c r="K10">
        <v>1</v>
      </c>
      <c r="L10">
        <v>2</v>
      </c>
      <c r="M10" t="s">
        <v>83</v>
      </c>
    </row>
    <row r="11" spans="1:13" x14ac:dyDescent="0.2">
      <c r="A11" t="s">
        <v>10</v>
      </c>
      <c r="B11">
        <v>12</v>
      </c>
      <c r="C11" s="1" t="s">
        <v>43</v>
      </c>
      <c r="E11" t="s">
        <v>77</v>
      </c>
      <c r="F11" t="str">
        <f t="shared" si="0"/>
        <v>y</v>
      </c>
      <c r="G11">
        <v>13</v>
      </c>
      <c r="H11">
        <v>13</v>
      </c>
      <c r="I11">
        <v>12</v>
      </c>
      <c r="J11">
        <v>2</v>
      </c>
      <c r="K11">
        <v>8</v>
      </c>
      <c r="L11">
        <v>2</v>
      </c>
      <c r="M11" t="s">
        <v>101</v>
      </c>
    </row>
    <row r="12" spans="1:13" x14ac:dyDescent="0.2">
      <c r="A12" t="s">
        <v>11</v>
      </c>
      <c r="B12">
        <v>17</v>
      </c>
      <c r="C12" s="1" t="s">
        <v>44</v>
      </c>
      <c r="D12" t="s">
        <v>57</v>
      </c>
      <c r="E12" t="s">
        <v>77</v>
      </c>
      <c r="F12" t="str">
        <f t="shared" si="0"/>
        <v>n</v>
      </c>
      <c r="G12">
        <v>7</v>
      </c>
      <c r="H12">
        <v>9</v>
      </c>
      <c r="I12">
        <v>6</v>
      </c>
      <c r="J12">
        <v>2</v>
      </c>
      <c r="K12">
        <v>2</v>
      </c>
      <c r="L12">
        <v>2</v>
      </c>
      <c r="M12" t="s">
        <v>84</v>
      </c>
    </row>
    <row r="13" spans="1:13" x14ac:dyDescent="0.2">
      <c r="A13" t="s">
        <v>12</v>
      </c>
      <c r="B13">
        <v>1</v>
      </c>
      <c r="C13" s="1">
        <v>16</v>
      </c>
      <c r="F13" t="str">
        <f t="shared" si="0"/>
        <v>y</v>
      </c>
      <c r="G13">
        <v>2</v>
      </c>
      <c r="H13">
        <v>1</v>
      </c>
      <c r="I13">
        <v>1</v>
      </c>
    </row>
    <row r="14" spans="1:13" x14ac:dyDescent="0.2">
      <c r="A14" t="s">
        <v>13</v>
      </c>
      <c r="B14">
        <v>7</v>
      </c>
      <c r="C14" s="1" t="s">
        <v>45</v>
      </c>
      <c r="E14" t="s">
        <v>77</v>
      </c>
      <c r="F14" t="str">
        <f t="shared" si="0"/>
        <v>n</v>
      </c>
      <c r="G14">
        <v>5</v>
      </c>
      <c r="H14">
        <v>5</v>
      </c>
      <c r="I14">
        <v>4</v>
      </c>
      <c r="J14">
        <v>2</v>
      </c>
      <c r="K14">
        <v>2</v>
      </c>
      <c r="L14">
        <v>2</v>
      </c>
      <c r="M14" t="s">
        <v>84</v>
      </c>
    </row>
    <row r="15" spans="1:13" x14ac:dyDescent="0.2">
      <c r="A15" t="s">
        <v>14</v>
      </c>
      <c r="B15">
        <v>10</v>
      </c>
      <c r="C15" s="1" t="s">
        <v>46</v>
      </c>
      <c r="D15" t="s">
        <v>47</v>
      </c>
      <c r="E15" t="s">
        <v>77</v>
      </c>
      <c r="F15" t="str">
        <f t="shared" si="0"/>
        <v>n</v>
      </c>
      <c r="G15">
        <v>6</v>
      </c>
      <c r="H15">
        <v>7</v>
      </c>
      <c r="I15">
        <v>6</v>
      </c>
      <c r="J15">
        <v>2</v>
      </c>
      <c r="K15">
        <v>4</v>
      </c>
      <c r="L15">
        <v>2</v>
      </c>
      <c r="M15" t="s">
        <v>85</v>
      </c>
    </row>
    <row r="16" spans="1:13" x14ac:dyDescent="0.2">
      <c r="A16" t="s">
        <v>15</v>
      </c>
      <c r="B16">
        <v>10</v>
      </c>
      <c r="C16" s="1" t="s">
        <v>48</v>
      </c>
      <c r="D16" t="s">
        <v>49</v>
      </c>
      <c r="E16" t="s">
        <v>77</v>
      </c>
      <c r="F16" t="str">
        <f t="shared" si="0"/>
        <v>n</v>
      </c>
      <c r="G16">
        <v>7</v>
      </c>
      <c r="H16">
        <v>7</v>
      </c>
      <c r="I16">
        <v>6</v>
      </c>
      <c r="J16" t="s">
        <v>87</v>
      </c>
      <c r="K16">
        <v>3</v>
      </c>
      <c r="L16">
        <v>2</v>
      </c>
      <c r="M16" t="s">
        <v>88</v>
      </c>
    </row>
    <row r="17" spans="1:13" x14ac:dyDescent="0.2">
      <c r="A17" t="s">
        <v>16</v>
      </c>
      <c r="B17">
        <v>1</v>
      </c>
      <c r="C17" s="1">
        <v>16</v>
      </c>
      <c r="F17" t="str">
        <f t="shared" si="0"/>
        <v>y</v>
      </c>
      <c r="G17">
        <v>2</v>
      </c>
      <c r="H17">
        <v>1</v>
      </c>
      <c r="I17">
        <v>1</v>
      </c>
    </row>
    <row r="18" spans="1:13" x14ac:dyDescent="0.2">
      <c r="A18" t="s">
        <v>17</v>
      </c>
      <c r="B18">
        <v>13</v>
      </c>
      <c r="C18" s="1" t="s">
        <v>50</v>
      </c>
      <c r="D18" t="s">
        <v>51</v>
      </c>
      <c r="E18" t="s">
        <v>77</v>
      </c>
      <c r="F18" t="str">
        <f>IF(H18&lt;B18, "n", "y")</f>
        <v>n</v>
      </c>
      <c r="G18">
        <v>6</v>
      </c>
      <c r="H18">
        <v>8</v>
      </c>
      <c r="I18">
        <v>6</v>
      </c>
      <c r="J18">
        <v>2</v>
      </c>
      <c r="K18">
        <v>2</v>
      </c>
      <c r="L18">
        <v>2</v>
      </c>
      <c r="M18" s="2" t="s">
        <v>90</v>
      </c>
    </row>
    <row r="19" spans="1:13" x14ac:dyDescent="0.2">
      <c r="A19" t="s">
        <v>18</v>
      </c>
      <c r="B19">
        <v>6</v>
      </c>
      <c r="C19" s="1" t="s">
        <v>42</v>
      </c>
      <c r="E19" t="s">
        <v>81</v>
      </c>
      <c r="F19" t="str">
        <f>IF(H19&lt;B19, "n", "y")</f>
        <v>y</v>
      </c>
      <c r="G19">
        <v>7</v>
      </c>
      <c r="H19">
        <v>6</v>
      </c>
      <c r="I19">
        <v>6</v>
      </c>
      <c r="J19">
        <v>2</v>
      </c>
      <c r="K19">
        <v>2</v>
      </c>
      <c r="L19">
        <v>2</v>
      </c>
      <c r="M19" t="s">
        <v>89</v>
      </c>
    </row>
    <row r="20" spans="1:13" x14ac:dyDescent="0.2">
      <c r="A20" t="s">
        <v>19</v>
      </c>
      <c r="B20">
        <v>6</v>
      </c>
      <c r="C20" s="1" t="s">
        <v>42</v>
      </c>
      <c r="E20" t="s">
        <v>81</v>
      </c>
      <c r="F20" t="str">
        <f>IF(H20&lt;B20, "n", "y")</f>
        <v>y</v>
      </c>
      <c r="G20">
        <v>6</v>
      </c>
      <c r="H20">
        <v>6</v>
      </c>
      <c r="I20">
        <v>5</v>
      </c>
      <c r="J20">
        <v>2</v>
      </c>
      <c r="K20">
        <v>2</v>
      </c>
      <c r="L20">
        <v>2</v>
      </c>
    </row>
    <row r="21" spans="1:13" x14ac:dyDescent="0.2">
      <c r="A21" t="s">
        <v>20</v>
      </c>
      <c r="B21">
        <v>8</v>
      </c>
      <c r="C21" s="1" t="s">
        <v>53</v>
      </c>
      <c r="D21" t="s">
        <v>56</v>
      </c>
      <c r="E21" t="s">
        <v>77</v>
      </c>
      <c r="F21" t="str">
        <f>IF(H21&lt;B21, "n", "y")</f>
        <v>n</v>
      </c>
      <c r="G21">
        <v>7</v>
      </c>
      <c r="H21">
        <v>7</v>
      </c>
      <c r="I21">
        <v>6</v>
      </c>
      <c r="J21">
        <v>2</v>
      </c>
      <c r="K21">
        <v>2</v>
      </c>
      <c r="L21">
        <v>2</v>
      </c>
      <c r="M21" t="s">
        <v>91</v>
      </c>
    </row>
    <row r="22" spans="1:13" x14ac:dyDescent="0.2">
      <c r="A22" t="s">
        <v>21</v>
      </c>
      <c r="B22">
        <v>6</v>
      </c>
      <c r="C22" s="1" t="s">
        <v>42</v>
      </c>
      <c r="E22" t="s">
        <v>81</v>
      </c>
      <c r="F22" t="str">
        <f>IF(H22&lt;B22, "n", "y")</f>
        <v>y</v>
      </c>
      <c r="G22">
        <v>6</v>
      </c>
      <c r="H22">
        <v>6</v>
      </c>
      <c r="I22">
        <v>5</v>
      </c>
      <c r="J22">
        <v>2</v>
      </c>
      <c r="K22">
        <v>1</v>
      </c>
      <c r="L22">
        <v>2</v>
      </c>
      <c r="M22" t="s">
        <v>92</v>
      </c>
    </row>
    <row r="23" spans="1:13" x14ac:dyDescent="0.2">
      <c r="A23" t="s">
        <v>22</v>
      </c>
      <c r="B23">
        <v>8</v>
      </c>
      <c r="C23" s="1" t="s">
        <v>54</v>
      </c>
      <c r="D23" t="s">
        <v>55</v>
      </c>
      <c r="E23" t="s">
        <v>77</v>
      </c>
      <c r="F23" t="str">
        <f>IF(H23&lt;B23, "n", "y")</f>
        <v>n</v>
      </c>
      <c r="G23">
        <v>7</v>
      </c>
      <c r="H23">
        <v>7</v>
      </c>
      <c r="I23">
        <v>6</v>
      </c>
      <c r="J23">
        <v>2</v>
      </c>
      <c r="K23">
        <v>2</v>
      </c>
      <c r="L23">
        <v>2</v>
      </c>
      <c r="M23" t="s">
        <v>93</v>
      </c>
    </row>
    <row r="24" spans="1:13" x14ac:dyDescent="0.2">
      <c r="A24" t="s">
        <v>23</v>
      </c>
      <c r="B24">
        <v>14</v>
      </c>
      <c r="C24" s="1" t="s">
        <v>58</v>
      </c>
      <c r="E24" t="s">
        <v>77</v>
      </c>
      <c r="F24" t="str">
        <f>IF(H24&lt;B24, "n", "y")</f>
        <v>n</v>
      </c>
      <c r="G24">
        <v>7</v>
      </c>
      <c r="H24">
        <v>7</v>
      </c>
      <c r="I24">
        <v>6</v>
      </c>
      <c r="J24">
        <v>2</v>
      </c>
      <c r="K24">
        <v>2</v>
      </c>
      <c r="L24">
        <v>2</v>
      </c>
      <c r="M24" t="s">
        <v>94</v>
      </c>
    </row>
    <row r="25" spans="1:13" x14ac:dyDescent="0.2">
      <c r="A25" t="s">
        <v>24</v>
      </c>
      <c r="B25">
        <v>8</v>
      </c>
      <c r="C25" s="1" t="s">
        <v>59</v>
      </c>
      <c r="D25" t="s">
        <v>60</v>
      </c>
      <c r="E25" t="s">
        <v>77</v>
      </c>
      <c r="F25" t="str">
        <f>IF(H25&lt;B25, "n", "y")</f>
        <v>n</v>
      </c>
      <c r="G25">
        <v>7</v>
      </c>
      <c r="H25">
        <v>7</v>
      </c>
      <c r="I25">
        <v>6</v>
      </c>
      <c r="J25">
        <v>2</v>
      </c>
      <c r="K25">
        <v>2</v>
      </c>
      <c r="L25">
        <v>2</v>
      </c>
      <c r="M25" t="s">
        <v>95</v>
      </c>
    </row>
    <row r="26" spans="1:13" x14ac:dyDescent="0.2">
      <c r="A26" t="s">
        <v>25</v>
      </c>
      <c r="B26">
        <v>8</v>
      </c>
      <c r="C26" s="1" t="s">
        <v>61</v>
      </c>
      <c r="E26" t="s">
        <v>81</v>
      </c>
      <c r="F26" t="str">
        <f>IF(H26&lt;B26, "n", "y")</f>
        <v>n</v>
      </c>
      <c r="G26">
        <v>6</v>
      </c>
      <c r="H26">
        <v>6</v>
      </c>
      <c r="I26">
        <v>5</v>
      </c>
      <c r="J26">
        <v>2</v>
      </c>
      <c r="K26">
        <v>1</v>
      </c>
      <c r="L26">
        <v>2</v>
      </c>
      <c r="M26" t="s">
        <v>96</v>
      </c>
    </row>
    <row r="27" spans="1:13" x14ac:dyDescent="0.2">
      <c r="A27" t="s">
        <v>26</v>
      </c>
      <c r="B27">
        <v>8</v>
      </c>
      <c r="C27" s="1" t="s">
        <v>61</v>
      </c>
      <c r="E27" t="s">
        <v>81</v>
      </c>
      <c r="F27" t="str">
        <f>IF(H27&lt;B27, "n", "y")</f>
        <v>n</v>
      </c>
      <c r="G27">
        <v>6</v>
      </c>
      <c r="H27">
        <v>7</v>
      </c>
      <c r="I27">
        <v>5</v>
      </c>
      <c r="J27">
        <v>2</v>
      </c>
      <c r="K27">
        <v>1</v>
      </c>
      <c r="L27">
        <v>2</v>
      </c>
      <c r="M27" t="s">
        <v>97</v>
      </c>
    </row>
    <row r="28" spans="1:13" x14ac:dyDescent="0.2">
      <c r="A28" t="s">
        <v>27</v>
      </c>
      <c r="B28">
        <v>1</v>
      </c>
      <c r="C28" s="1">
        <v>16</v>
      </c>
      <c r="F28" t="str">
        <f>IF(H28&lt;B28, "n", "y")</f>
        <v>y</v>
      </c>
      <c r="G28">
        <v>2</v>
      </c>
      <c r="H28">
        <v>1</v>
      </c>
      <c r="I28">
        <v>1</v>
      </c>
    </row>
    <row r="29" spans="1:13" x14ac:dyDescent="0.2">
      <c r="A29" t="s">
        <v>28</v>
      </c>
      <c r="B29">
        <v>1</v>
      </c>
      <c r="C29" s="1">
        <v>16</v>
      </c>
      <c r="F29" t="str">
        <f>IF(H29&lt;B29, "n", "y")</f>
        <v>y</v>
      </c>
      <c r="G29">
        <v>2</v>
      </c>
      <c r="H29">
        <v>1</v>
      </c>
      <c r="I29">
        <v>1</v>
      </c>
    </row>
    <row r="30" spans="1:13" x14ac:dyDescent="0.2">
      <c r="A30" t="s">
        <v>29</v>
      </c>
      <c r="B30">
        <v>1</v>
      </c>
      <c r="C30" s="1">
        <v>16</v>
      </c>
      <c r="F30" t="str">
        <f>IF(H30&lt;B30, "n", "y")</f>
        <v>y</v>
      </c>
      <c r="G30">
        <v>2</v>
      </c>
      <c r="H30">
        <v>1</v>
      </c>
      <c r="I30">
        <v>1</v>
      </c>
    </row>
    <row r="31" spans="1:13" x14ac:dyDescent="0.2">
      <c r="A31" t="s">
        <v>30</v>
      </c>
      <c r="B31">
        <v>3</v>
      </c>
      <c r="C31" s="1" t="s">
        <v>62</v>
      </c>
      <c r="E31" t="s">
        <v>98</v>
      </c>
      <c r="G31">
        <v>3</v>
      </c>
      <c r="H31">
        <v>3</v>
      </c>
      <c r="I31">
        <v>3</v>
      </c>
      <c r="J31">
        <v>2</v>
      </c>
      <c r="K31">
        <v>2</v>
      </c>
      <c r="L31">
        <v>2</v>
      </c>
    </row>
    <row r="32" spans="1:13" x14ac:dyDescent="0.2">
      <c r="A32" t="s">
        <v>31</v>
      </c>
      <c r="B32">
        <v>3</v>
      </c>
      <c r="C32" s="1" t="s">
        <v>62</v>
      </c>
      <c r="E32" t="s">
        <v>98</v>
      </c>
      <c r="G32">
        <v>3</v>
      </c>
      <c r="H32">
        <v>1</v>
      </c>
      <c r="I32">
        <v>1</v>
      </c>
      <c r="J32">
        <v>2</v>
      </c>
      <c r="K32">
        <v>1</v>
      </c>
      <c r="L32">
        <v>2</v>
      </c>
    </row>
    <row r="33" spans="1:13" x14ac:dyDescent="0.2">
      <c r="A33" t="s">
        <v>32</v>
      </c>
      <c r="B33">
        <v>6</v>
      </c>
      <c r="C33" s="1" t="s">
        <v>42</v>
      </c>
      <c r="E33" t="s">
        <v>81</v>
      </c>
      <c r="G33">
        <v>1</v>
      </c>
      <c r="H33">
        <v>3</v>
      </c>
      <c r="I33">
        <v>2</v>
      </c>
      <c r="J33">
        <v>2</v>
      </c>
      <c r="K33">
        <v>2</v>
      </c>
      <c r="L33">
        <v>2</v>
      </c>
    </row>
    <row r="34" spans="1:13" x14ac:dyDescent="0.2">
      <c r="A34" t="s">
        <v>33</v>
      </c>
      <c r="B34">
        <v>7</v>
      </c>
      <c r="C34" s="1" t="s">
        <v>63</v>
      </c>
      <c r="E34" t="s">
        <v>79</v>
      </c>
      <c r="G34">
        <v>6</v>
      </c>
      <c r="H34">
        <v>6</v>
      </c>
      <c r="I34">
        <v>5</v>
      </c>
      <c r="J34">
        <v>2</v>
      </c>
      <c r="K34">
        <v>1</v>
      </c>
      <c r="L34">
        <v>2</v>
      </c>
      <c r="M34" t="s">
        <v>99</v>
      </c>
    </row>
    <row r="35" spans="1:13" x14ac:dyDescent="0.2">
      <c r="A35" t="s">
        <v>34</v>
      </c>
      <c r="B35">
        <v>7</v>
      </c>
      <c r="C35" s="1" t="s">
        <v>64</v>
      </c>
      <c r="E35" t="s">
        <v>79</v>
      </c>
      <c r="G35">
        <v>6</v>
      </c>
      <c r="H35">
        <v>6</v>
      </c>
      <c r="I35">
        <v>5</v>
      </c>
      <c r="J35">
        <v>2</v>
      </c>
      <c r="K35">
        <v>1</v>
      </c>
      <c r="L35">
        <v>2</v>
      </c>
      <c r="M3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Mehnaaz Asad</dc:creator>
  <cp:lastModifiedBy>Mehnaaz Asad</cp:lastModifiedBy>
  <dcterms:created xsi:type="dcterms:W3CDTF">2020-01-27T01:11:23Z</dcterms:created>
  <dcterms:modified xsi:type="dcterms:W3CDTF">2020-01-27T21:17:44Z</dcterms:modified>
</cp:coreProperties>
</file>